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iri\Desktop\inventory-system\"/>
    </mc:Choice>
  </mc:AlternateContent>
  <xr:revisionPtr revIDLastSave="0" documentId="13_ncr:1_{423F4CD8-A42E-4D14-BF58-41BEBA95EAF4}" xr6:coauthVersionLast="47" xr6:coauthVersionMax="47" xr10:uidLastSave="{00000000-0000-0000-0000-000000000000}"/>
  <bookViews>
    <workbookView xWindow="-120" yWindow="-120" windowWidth="25440" windowHeight="15270" activeTab="1" xr2:uid="{00000000-000D-0000-FFFF-FFFF00000000}"/>
  </bookViews>
  <sheets>
    <sheet name="値札(手書き用)" sheetId="11" r:id="rId1"/>
    <sheet name="催事用値札見本" sheetId="12" r:id="rId2"/>
    <sheet name="プロパー用値札見本" sheetId="13" r:id="rId3"/>
    <sheet name="プロパー用値札見本 (2)" sheetId="15" r:id="rId4"/>
    <sheet name="SV900Pt100" sheetId="14" r:id="rId5"/>
  </sheets>
  <definedNames>
    <definedName name="_xlnm.Print_Area" localSheetId="4">SV900Pt100!$B$1:$AC$54</definedName>
    <definedName name="_xlnm.Print_Area" localSheetId="2">プロパー用値札見本!$D$11:$G$18</definedName>
    <definedName name="_xlnm.Print_Area" localSheetId="3">'プロパー用値札見本 (2)'!$D$11:$G$18</definedName>
    <definedName name="_xlnm.Print_Area" localSheetId="1">催事用値札見本!$D$11:$G$18</definedName>
    <definedName name="_xlnm.Print_Area" localSheetId="0">'値札(手書き用)'!$B$1:$AG$55</definedName>
    <definedName name="定番枠" localSheetId="2">#REF!</definedName>
    <definedName name="定番枠" localSheetId="3">#REF!</definedName>
    <definedName name="定番枠" localSheetId="1">#REF!</definedName>
    <definedName name="定番枠">#REF!</definedName>
  </definedNames>
  <calcPr calcId="191029"/>
  <fileRecoveryPr autoRecover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8" i="12" l="1"/>
  <c r="D9" i="15" l="1"/>
  <c r="D7" i="15"/>
  <c r="Z54" i="14"/>
  <c r="V54" i="14"/>
  <c r="R54" i="14"/>
  <c r="N54" i="14"/>
  <c r="J54" i="14"/>
  <c r="F54" i="14"/>
  <c r="B54" i="14"/>
  <c r="Z46" i="14"/>
  <c r="Z47" i="14" s="1"/>
  <c r="Z52" i="14" s="1"/>
  <c r="V46" i="14"/>
  <c r="V47" i="14" s="1"/>
  <c r="V52" i="14" s="1"/>
  <c r="R46" i="14"/>
  <c r="R47" i="14" s="1"/>
  <c r="R52" i="14" s="1"/>
  <c r="N46" i="14"/>
  <c r="N47" i="14" s="1"/>
  <c r="N52" i="14" s="1"/>
  <c r="J46" i="14"/>
  <c r="J47" i="14" s="1"/>
  <c r="J52" i="14" s="1"/>
  <c r="F46" i="14"/>
  <c r="F47" i="14" s="1"/>
  <c r="F52" i="14" s="1"/>
  <c r="B46" i="14"/>
  <c r="B47" i="14" s="1"/>
  <c r="B52" i="14" s="1"/>
  <c r="Z45" i="14"/>
  <c r="V45" i="14"/>
  <c r="R45" i="14"/>
  <c r="N45" i="14"/>
  <c r="J45" i="14"/>
  <c r="F45" i="14"/>
  <c r="B45" i="14"/>
  <c r="V43" i="14"/>
  <c r="Z38" i="14"/>
  <c r="Z43" i="14" s="1"/>
  <c r="V38" i="14"/>
  <c r="B38" i="14"/>
  <c r="B43" i="14" s="1"/>
  <c r="Z37" i="14"/>
  <c r="V37" i="14"/>
  <c r="R37" i="14"/>
  <c r="R38" i="14" s="1"/>
  <c r="R43" i="14" s="1"/>
  <c r="N37" i="14"/>
  <c r="N38" i="14" s="1"/>
  <c r="N43" i="14" s="1"/>
  <c r="J37" i="14"/>
  <c r="J38" i="14" s="1"/>
  <c r="J43" i="14" s="1"/>
  <c r="F37" i="14"/>
  <c r="F38" i="14" s="1"/>
  <c r="F43" i="14" s="1"/>
  <c r="B37" i="14"/>
  <c r="Z36" i="14"/>
  <c r="V36" i="14"/>
  <c r="R36" i="14"/>
  <c r="N36" i="14"/>
  <c r="J36" i="14"/>
  <c r="F36" i="14"/>
  <c r="B36" i="14"/>
  <c r="N34" i="14"/>
  <c r="R29" i="14"/>
  <c r="R34" i="14" s="1"/>
  <c r="N29" i="14"/>
  <c r="Z28" i="14"/>
  <c r="Z29" i="14" s="1"/>
  <c r="Z34" i="14" s="1"/>
  <c r="V28" i="14"/>
  <c r="V29" i="14" s="1"/>
  <c r="V34" i="14" s="1"/>
  <c r="R28" i="14"/>
  <c r="N28" i="14"/>
  <c r="J28" i="14"/>
  <c r="J29" i="14" s="1"/>
  <c r="J34" i="14" s="1"/>
  <c r="F28" i="14"/>
  <c r="F29" i="14" s="1"/>
  <c r="F34" i="14" s="1"/>
  <c r="B28" i="14"/>
  <c r="B29" i="14" s="1"/>
  <c r="B34" i="14" s="1"/>
  <c r="Z27" i="14"/>
  <c r="V27" i="14"/>
  <c r="R27" i="14"/>
  <c r="N27" i="14"/>
  <c r="J27" i="14"/>
  <c r="F27" i="14"/>
  <c r="B27" i="14"/>
  <c r="F25" i="14"/>
  <c r="J20" i="14"/>
  <c r="J25" i="14" s="1"/>
  <c r="F20" i="14"/>
  <c r="Z19" i="14"/>
  <c r="Z20" i="14" s="1"/>
  <c r="Z25" i="14" s="1"/>
  <c r="V19" i="14"/>
  <c r="V20" i="14" s="1"/>
  <c r="V25" i="14" s="1"/>
  <c r="R19" i="14"/>
  <c r="R20" i="14" s="1"/>
  <c r="R25" i="14" s="1"/>
  <c r="N19" i="14"/>
  <c r="N20" i="14" s="1"/>
  <c r="N25" i="14" s="1"/>
  <c r="J19" i="14"/>
  <c r="F19" i="14"/>
  <c r="B19" i="14"/>
  <c r="B20" i="14" s="1"/>
  <c r="B25" i="14" s="1"/>
  <c r="Z18" i="14"/>
  <c r="V18" i="14"/>
  <c r="R18" i="14"/>
  <c r="N18" i="14"/>
  <c r="J18" i="14"/>
  <c r="F18" i="14"/>
  <c r="B18" i="14"/>
  <c r="V16" i="14"/>
  <c r="Z11" i="14"/>
  <c r="Z16" i="14" s="1"/>
  <c r="V11" i="14"/>
  <c r="B11" i="14"/>
  <c r="B16" i="14" s="1"/>
  <c r="Z10" i="14"/>
  <c r="V10" i="14"/>
  <c r="R10" i="14"/>
  <c r="R11" i="14" s="1"/>
  <c r="R16" i="14" s="1"/>
  <c r="N10" i="14"/>
  <c r="N11" i="14" s="1"/>
  <c r="N16" i="14" s="1"/>
  <c r="J10" i="14"/>
  <c r="J11" i="14" s="1"/>
  <c r="J16" i="14" s="1"/>
  <c r="F10" i="14"/>
  <c r="F11" i="14" s="1"/>
  <c r="F16" i="14" s="1"/>
  <c r="B10" i="14"/>
  <c r="W4" i="14"/>
  <c r="S4" i="14"/>
  <c r="O4" i="14"/>
  <c r="K4" i="14"/>
  <c r="G4" i="14"/>
  <c r="C4" i="14"/>
  <c r="N2" i="14"/>
  <c r="N7" i="14" s="1"/>
  <c r="J2" i="14"/>
  <c r="J7" i="14" s="1"/>
  <c r="AD1" i="14"/>
  <c r="AD2" i="14" s="1"/>
  <c r="Z1" i="14"/>
  <c r="Z2" i="14" s="1"/>
  <c r="V1" i="14"/>
  <c r="V2" i="14" s="1"/>
  <c r="V7" i="14" s="1"/>
  <c r="R1" i="14"/>
  <c r="R2" i="14" s="1"/>
  <c r="R7" i="14" s="1"/>
  <c r="N1" i="14"/>
  <c r="J1" i="14"/>
  <c r="F1" i="14"/>
  <c r="F2" i="14" s="1"/>
  <c r="F7" i="14" s="1"/>
  <c r="B1" i="14"/>
  <c r="B2" i="14" s="1"/>
  <c r="B7" i="14" s="1"/>
  <c r="E4" i="12" l="1"/>
  <c r="E13" i="12"/>
  <c r="O13" i="11" l="1"/>
  <c r="K13" i="11"/>
  <c r="G13" i="11"/>
  <c r="C13" i="11"/>
  <c r="AA4" i="11"/>
  <c r="W4" i="11"/>
  <c r="S4" i="11"/>
  <c r="AE4" i="11"/>
  <c r="O4" i="11"/>
  <c r="K4" i="11"/>
  <c r="AE13" i="11" l="1"/>
  <c r="AA13" i="11"/>
  <c r="S13" i="11"/>
  <c r="C31" i="11" l="1"/>
  <c r="AE22" i="11"/>
  <c r="AA22" i="11"/>
  <c r="W22" i="11"/>
  <c r="S22" i="11"/>
  <c r="O22" i="11"/>
  <c r="K22" i="11"/>
  <c r="G22" i="11"/>
  <c r="C22" i="11"/>
  <c r="W13" i="11"/>
  <c r="AA31" i="11" l="1"/>
  <c r="S31" i="11"/>
  <c r="O31" i="11"/>
  <c r="W31" i="11"/>
  <c r="K31" i="11"/>
  <c r="G31" i="11"/>
  <c r="B28" i="11" l="1"/>
  <c r="B29" i="11" s="1"/>
  <c r="B34" i="11" s="1"/>
  <c r="F28" i="11"/>
  <c r="F29" i="11" s="1"/>
  <c r="F34" i="11" s="1"/>
  <c r="J28" i="11"/>
  <c r="J29" i="11" s="1"/>
  <c r="J34" i="11" s="1"/>
  <c r="N28" i="11"/>
  <c r="N29" i="11" s="1"/>
  <c r="N34" i="11" s="1"/>
  <c r="R28" i="11"/>
  <c r="R29" i="11" s="1"/>
  <c r="R34" i="11" s="1"/>
  <c r="B37" i="11"/>
  <c r="F37" i="11"/>
  <c r="J37" i="11"/>
  <c r="N37" i="11"/>
  <c r="R37" i="11"/>
  <c r="AD46" i="11" l="1"/>
  <c r="AD47" i="11" s="1"/>
  <c r="F1" i="11"/>
  <c r="F2" i="11" s="1"/>
  <c r="F7" i="11" s="1"/>
  <c r="AE49" i="11"/>
  <c r="AA49" i="11"/>
  <c r="W49" i="11"/>
  <c r="S49" i="11"/>
  <c r="O49" i="11"/>
  <c r="K49" i="11"/>
  <c r="G49" i="11"/>
  <c r="C49" i="11"/>
  <c r="Z46" i="11"/>
  <c r="Z47" i="11" s="1"/>
  <c r="Z52" i="11" s="1"/>
  <c r="V46" i="11"/>
  <c r="V47" i="11" s="1"/>
  <c r="V52" i="11" s="1"/>
  <c r="R46" i="11"/>
  <c r="R47" i="11" s="1"/>
  <c r="R52" i="11" s="1"/>
  <c r="N46" i="11"/>
  <c r="N47" i="11" s="1"/>
  <c r="N52" i="11" s="1"/>
  <c r="J46" i="11"/>
  <c r="J47" i="11" s="1"/>
  <c r="J52" i="11" s="1"/>
  <c r="F46" i="11"/>
  <c r="F47" i="11" s="1"/>
  <c r="F52" i="11" s="1"/>
  <c r="B46" i="11"/>
  <c r="B47" i="11" s="1"/>
  <c r="B52" i="11" s="1"/>
  <c r="AE40" i="11"/>
  <c r="AA40" i="11"/>
  <c r="W40" i="11"/>
  <c r="S40" i="11"/>
  <c r="O40" i="11"/>
  <c r="K40" i="11"/>
  <c r="G40" i="11"/>
  <c r="C40" i="11"/>
  <c r="AD37" i="11"/>
  <c r="AD38" i="11" s="1"/>
  <c r="AD43" i="11" s="1"/>
  <c r="Z37" i="11"/>
  <c r="Z38" i="11" s="1"/>
  <c r="Z43" i="11" s="1"/>
  <c r="V37" i="11"/>
  <c r="V38" i="11" s="1"/>
  <c r="V43" i="11" s="1"/>
  <c r="R38" i="11"/>
  <c r="R43" i="11" s="1"/>
  <c r="N38" i="11"/>
  <c r="N43" i="11" s="1"/>
  <c r="J38" i="11"/>
  <c r="J43" i="11" s="1"/>
  <c r="F38" i="11"/>
  <c r="F43" i="11" s="1"/>
  <c r="B38" i="11"/>
  <c r="B43" i="11" s="1"/>
  <c r="AE31" i="11"/>
  <c r="AD28" i="11"/>
  <c r="AD29" i="11" s="1"/>
  <c r="AD34" i="11" s="1"/>
  <c r="Z28" i="11"/>
  <c r="Z29" i="11" s="1"/>
  <c r="Z34" i="11" s="1"/>
  <c r="V28" i="11"/>
  <c r="V29" i="11" s="1"/>
  <c r="V34" i="11" s="1"/>
  <c r="AD19" i="11"/>
  <c r="AD20" i="11" s="1"/>
  <c r="AD25" i="11" s="1"/>
  <c r="Z19" i="11"/>
  <c r="Z20" i="11" s="1"/>
  <c r="Z25" i="11" s="1"/>
  <c r="V19" i="11"/>
  <c r="V20" i="11" s="1"/>
  <c r="V25" i="11" s="1"/>
  <c r="R19" i="11"/>
  <c r="R20" i="11" s="1"/>
  <c r="R25" i="11" s="1"/>
  <c r="N19" i="11"/>
  <c r="N20" i="11" s="1"/>
  <c r="N25" i="11" s="1"/>
  <c r="J19" i="11"/>
  <c r="J20" i="11" s="1"/>
  <c r="J25" i="11" s="1"/>
  <c r="F19" i="11"/>
  <c r="F20" i="11" s="1"/>
  <c r="F25" i="11" s="1"/>
  <c r="B19" i="11"/>
  <c r="B20" i="11" s="1"/>
  <c r="B25" i="11" s="1"/>
  <c r="R10" i="11"/>
  <c r="R11" i="11" s="1"/>
  <c r="R16" i="11" s="1"/>
  <c r="V10" i="11"/>
  <c r="V11" i="11" s="1"/>
  <c r="V16" i="11" s="1"/>
  <c r="Z10" i="11"/>
  <c r="Z11" i="11" s="1"/>
  <c r="Z16" i="11" s="1"/>
  <c r="AD10" i="11"/>
  <c r="AD11" i="11" s="1"/>
  <c r="AD16" i="11" s="1"/>
  <c r="B10" i="11"/>
  <c r="B11" i="11" s="1"/>
  <c r="B16" i="11" s="1"/>
  <c r="B1" i="11"/>
  <c r="B2" i="11" s="1"/>
  <c r="B7" i="11" s="1"/>
  <c r="N10" i="11"/>
  <c r="N11" i="11" s="1"/>
  <c r="N16" i="11" s="1"/>
  <c r="J10" i="11"/>
  <c r="J11" i="11" s="1"/>
  <c r="J16" i="11" s="1"/>
  <c r="F10" i="11"/>
  <c r="F11" i="11" s="1"/>
  <c r="F16" i="11" s="1"/>
  <c r="G4" i="11"/>
  <c r="AD1" i="11"/>
  <c r="AD2" i="11" s="1"/>
  <c r="AD7" i="11" s="1"/>
  <c r="Z1" i="11"/>
  <c r="Z2" i="11" s="1"/>
  <c r="Z7" i="11" s="1"/>
  <c r="V1" i="11"/>
  <c r="V2" i="11" s="1"/>
  <c r="V7" i="11" s="1"/>
  <c r="R1" i="11"/>
  <c r="R2" i="11" s="1"/>
  <c r="R7" i="11" s="1"/>
  <c r="N1" i="11"/>
  <c r="N2" i="11" s="1"/>
  <c r="N7" i="11" s="1"/>
  <c r="J1" i="11"/>
  <c r="J2" i="11" s="1"/>
  <c r="J7" i="11" s="1"/>
  <c r="AD52" i="11" l="1"/>
  <c r="C4" i="11" l="1"/>
</calcChain>
</file>

<file path=xl/sharedStrings.xml><?xml version="1.0" encoding="utf-8"?>
<sst xmlns="http://schemas.openxmlformats.org/spreadsheetml/2006/main" count="453" uniqueCount="84">
  <si>
    <t xml:space="preserve"> Pt900</t>
    <phoneticPr fontId="2"/>
  </si>
  <si>
    <t>(税込)</t>
  </si>
  <si>
    <t>本体価格</t>
    <rPh sb="0" eb="2">
      <t>ホンタイ</t>
    </rPh>
    <rPh sb="2" eb="4">
      <t>カカク</t>
    </rPh>
    <phoneticPr fontId="2"/>
  </si>
  <si>
    <t>←水色2か所は入力不要です</t>
    <rPh sb="1" eb="3">
      <t>ミズイロ</t>
    </rPh>
    <rPh sb="5" eb="6">
      <t>ショ</t>
    </rPh>
    <rPh sb="7" eb="11">
      <t>ニュウリョクフヨウ</t>
    </rPh>
    <phoneticPr fontId="2"/>
  </si>
  <si>
    <r>
      <rPr>
        <b/>
        <sz val="10"/>
        <color rgb="FFFF0000"/>
        <rFont val="ＭＳ Ｐゴシック"/>
        <family val="3"/>
        <charset val="128"/>
      </rPr>
      <t>＜SAMPLE＞</t>
    </r>
    <r>
      <rPr>
        <b/>
        <sz val="10"/>
        <rFont val="ＭＳ Ｐゴシック"/>
        <family val="3"/>
        <charset val="128"/>
      </rPr>
      <t xml:space="preserve">
03B-187-50</t>
    </r>
    <phoneticPr fontId="2"/>
  </si>
  <si>
    <t>0.07ct</t>
    <phoneticPr fontId="2"/>
  </si>
  <si>
    <r>
      <t>←黄色に</t>
    </r>
    <r>
      <rPr>
        <b/>
        <u/>
        <sz val="11"/>
        <color rgb="FF0066FF"/>
        <rFont val="ＭＳ Ｐゴシック"/>
        <family val="3"/>
        <charset val="128"/>
      </rPr>
      <t>税抜き</t>
    </r>
    <r>
      <rPr>
        <b/>
        <sz val="11"/>
        <color rgb="FF0066FF"/>
        <rFont val="ＭＳ Ｐゴシック"/>
        <family val="3"/>
        <charset val="128"/>
      </rPr>
      <t>暗号化下代を入力。（）は不要です</t>
    </r>
    <rPh sb="1" eb="3">
      <t>キイロ</t>
    </rPh>
    <rPh sb="4" eb="6">
      <t>ゼイヌ</t>
    </rPh>
    <rPh sb="7" eb="10">
      <t>アンゴウカ</t>
    </rPh>
    <rPh sb="10" eb="12">
      <t>ゲダイ</t>
    </rPh>
    <rPh sb="13" eb="15">
      <t>ニュウリョク</t>
    </rPh>
    <rPh sb="19" eb="21">
      <t>フヨウ</t>
    </rPh>
    <phoneticPr fontId="2"/>
  </si>
  <si>
    <t>Pt850</t>
    <phoneticPr fontId="2"/>
  </si>
  <si>
    <t>0.28φ</t>
    <phoneticPr fontId="2"/>
  </si>
  <si>
    <t>0.33φ</t>
    <phoneticPr fontId="2"/>
  </si>
  <si>
    <t>小豆0.33φ-45㎝-スライド</t>
    <rPh sb="0" eb="2">
      <t>アズキ</t>
    </rPh>
    <phoneticPr fontId="2"/>
  </si>
  <si>
    <t>0.4φ</t>
    <phoneticPr fontId="2"/>
  </si>
  <si>
    <t>小豆0.4φ-45㎝-スライド</t>
    <rPh sb="0" eb="2">
      <t>アズキ</t>
    </rPh>
    <phoneticPr fontId="2"/>
  </si>
  <si>
    <t>K18</t>
    <phoneticPr fontId="2"/>
  </si>
  <si>
    <t>0.32φ</t>
    <phoneticPr fontId="2"/>
  </si>
  <si>
    <t>0.38φ</t>
    <phoneticPr fontId="2"/>
  </si>
  <si>
    <t>Pt900</t>
    <phoneticPr fontId="2"/>
  </si>
  <si>
    <t>0.28ct</t>
    <phoneticPr fontId="2"/>
  </si>
  <si>
    <t>03B-153-50</t>
    <phoneticPr fontId="2"/>
  </si>
  <si>
    <t>14B-46-20</t>
    <phoneticPr fontId="2"/>
  </si>
  <si>
    <t>0.07ct</t>
    <phoneticPr fontId="2"/>
  </si>
  <si>
    <t>09C-175-160</t>
    <phoneticPr fontId="2"/>
  </si>
  <si>
    <t>0.23ct</t>
    <phoneticPr fontId="2"/>
  </si>
  <si>
    <t>CT</t>
    <phoneticPr fontId="2"/>
  </si>
  <si>
    <t>03B-285-100</t>
    <phoneticPr fontId="2"/>
  </si>
  <si>
    <t>0.15ct</t>
  </si>
  <si>
    <t>03B-276-50</t>
    <phoneticPr fontId="2"/>
  </si>
  <si>
    <t>03B-214-50</t>
    <phoneticPr fontId="2"/>
  </si>
  <si>
    <t>0.20ct</t>
  </si>
  <si>
    <t>0.44ct</t>
    <phoneticPr fontId="2"/>
  </si>
  <si>
    <t>Pt900</t>
    <phoneticPr fontId="2"/>
  </si>
  <si>
    <t>0.09ct</t>
    <phoneticPr fontId="2"/>
  </si>
  <si>
    <t>14B-46-30</t>
    <phoneticPr fontId="2"/>
  </si>
  <si>
    <t>Pt900</t>
  </si>
  <si>
    <t>14B-133-30</t>
    <phoneticPr fontId="2"/>
  </si>
  <si>
    <t>0.10ct</t>
    <phoneticPr fontId="2"/>
  </si>
  <si>
    <t>BAK0-1-S</t>
    <phoneticPr fontId="2"/>
  </si>
  <si>
    <t>0.06ct</t>
    <phoneticPr fontId="2"/>
  </si>
  <si>
    <t>Free</t>
    <phoneticPr fontId="2"/>
  </si>
  <si>
    <t>DRB1-1-30</t>
    <phoneticPr fontId="2"/>
  </si>
  <si>
    <t>サイズ</t>
    <phoneticPr fontId="2"/>
  </si>
  <si>
    <t>＜サイズ＞</t>
    <phoneticPr fontId="2"/>
  </si>
  <si>
    <t>6mm</t>
    <phoneticPr fontId="2"/>
  </si>
  <si>
    <t>5mm</t>
    <phoneticPr fontId="2"/>
  </si>
  <si>
    <t>4mm</t>
    <phoneticPr fontId="2"/>
  </si>
  <si>
    <t>8mm</t>
    <phoneticPr fontId="2"/>
  </si>
  <si>
    <t>14mm</t>
    <phoneticPr fontId="2"/>
  </si>
  <si>
    <t>11mm</t>
    <phoneticPr fontId="2"/>
  </si>
  <si>
    <t>＜項目＞</t>
    <rPh sb="1" eb="3">
      <t>コウモク</t>
    </rPh>
    <phoneticPr fontId="2"/>
  </si>
  <si>
    <t>地金</t>
    <rPh sb="0" eb="2">
      <t>ジガネ</t>
    </rPh>
    <phoneticPr fontId="2"/>
  </si>
  <si>
    <t>＜催事用値札見本＞</t>
    <rPh sb="1" eb="4">
      <t>サイジヨウ</t>
    </rPh>
    <rPh sb="4" eb="6">
      <t>ネフダ</t>
    </rPh>
    <rPh sb="6" eb="8">
      <t>ミホン</t>
    </rPh>
    <phoneticPr fontId="2"/>
  </si>
  <si>
    <t>税込上代</t>
    <rPh sb="0" eb="2">
      <t>ゼイコ</t>
    </rPh>
    <rPh sb="2" eb="4">
      <t>ジョウダイ</t>
    </rPh>
    <phoneticPr fontId="2"/>
  </si>
  <si>
    <t>税抜上代</t>
    <rPh sb="0" eb="2">
      <t>ゼイヌ</t>
    </rPh>
    <rPh sb="2" eb="4">
      <t>ジョウダイ</t>
    </rPh>
    <phoneticPr fontId="2"/>
  </si>
  <si>
    <t>税込み暗号下代</t>
    <rPh sb="0" eb="2">
      <t>ゼイコ</t>
    </rPh>
    <rPh sb="3" eb="5">
      <t>アンゴウ</t>
    </rPh>
    <rPh sb="5" eb="7">
      <t>ゲダイ</t>
    </rPh>
    <phoneticPr fontId="2"/>
  </si>
  <si>
    <t>税抜き暗号下代</t>
    <rPh sb="0" eb="2">
      <t>ゼイヌ</t>
    </rPh>
    <rPh sb="3" eb="5">
      <t>アンゴウ</t>
    </rPh>
    <rPh sb="5" eb="7">
      <t>ゲダイ</t>
    </rPh>
    <phoneticPr fontId="2"/>
  </si>
  <si>
    <t>脇石</t>
    <rPh sb="0" eb="2">
      <t>ワキイシ</t>
    </rPh>
    <phoneticPr fontId="2"/>
  </si>
  <si>
    <t>品番</t>
    <rPh sb="0" eb="2">
      <t>ヒンバン</t>
    </rPh>
    <phoneticPr fontId="2"/>
  </si>
  <si>
    <t>Pt900、Pt850は青</t>
    <rPh sb="12" eb="13">
      <t>アオ</t>
    </rPh>
    <phoneticPr fontId="2"/>
  </si>
  <si>
    <t>＜フォント色＞</t>
    <rPh sb="5" eb="6">
      <t>イロ</t>
    </rPh>
    <phoneticPr fontId="2"/>
  </si>
  <si>
    <t>K18は赤</t>
    <rPh sb="4" eb="5">
      <t>アカ</t>
    </rPh>
    <phoneticPr fontId="2"/>
  </si>
  <si>
    <t>K18WGは水色</t>
    <rPh sb="6" eb="8">
      <t>ミズイロ</t>
    </rPh>
    <phoneticPr fontId="2"/>
  </si>
  <si>
    <t>K18PGはピンク</t>
    <phoneticPr fontId="2"/>
  </si>
  <si>
    <t>SV900（Pt）は緑</t>
    <rPh sb="10" eb="11">
      <t>ミドリ</t>
    </rPh>
    <phoneticPr fontId="2"/>
  </si>
  <si>
    <t>それ以外は紫</t>
    <rPh sb="2" eb="4">
      <t>イガイ</t>
    </rPh>
    <rPh sb="5" eb="6">
      <t>ムラサキ</t>
    </rPh>
    <phoneticPr fontId="2"/>
  </si>
  <si>
    <t>K18、K18WG、K18PGは青</t>
    <rPh sb="16" eb="17">
      <t>アオ</t>
    </rPh>
    <phoneticPr fontId="2"/>
  </si>
  <si>
    <t>それ以外は赤</t>
    <rPh sb="2" eb="4">
      <t>イガイ</t>
    </rPh>
    <rPh sb="5" eb="6">
      <t>アカ</t>
    </rPh>
    <phoneticPr fontId="2"/>
  </si>
  <si>
    <t>税抜き暗号下代</t>
    <rPh sb="0" eb="2">
      <t>ゼイヌ</t>
    </rPh>
    <rPh sb="3" eb="7">
      <t>アンゴウゲダイ</t>
    </rPh>
    <phoneticPr fontId="2"/>
  </si>
  <si>
    <t>青、()でくくる</t>
    <phoneticPr fontId="2"/>
  </si>
  <si>
    <t>赤</t>
    <rPh sb="0" eb="1">
      <t>アカ</t>
    </rPh>
    <phoneticPr fontId="2"/>
  </si>
  <si>
    <t>他全て黒字</t>
    <rPh sb="0" eb="1">
      <t>ホカ</t>
    </rPh>
    <rPh sb="1" eb="2">
      <t>スベ</t>
    </rPh>
    <rPh sb="3" eb="5">
      <t>クロジ</t>
    </rPh>
    <phoneticPr fontId="2"/>
  </si>
  <si>
    <t>品番は折り返し表示、他は縮小表示で</t>
    <rPh sb="0" eb="2">
      <t>ヒンバン</t>
    </rPh>
    <rPh sb="3" eb="4">
      <t>オ</t>
    </rPh>
    <rPh sb="5" eb="6">
      <t>カエ</t>
    </rPh>
    <rPh sb="7" eb="9">
      <t>ヒョウジ</t>
    </rPh>
    <rPh sb="10" eb="11">
      <t>ホカ</t>
    </rPh>
    <rPh sb="12" eb="14">
      <t>シュクショウ</t>
    </rPh>
    <rPh sb="14" eb="16">
      <t>ヒョウジ</t>
    </rPh>
    <phoneticPr fontId="2"/>
  </si>
  <si>
    <t>"（税込）"と"本体価格"固定表示</t>
    <rPh sb="2" eb="4">
      <t>ゼイコ</t>
    </rPh>
    <phoneticPr fontId="2"/>
  </si>
  <si>
    <t>＜フォントサイズ＞</t>
    <phoneticPr fontId="2"/>
  </si>
  <si>
    <t>＜プロパー用値札見本＞</t>
    <rPh sb="5" eb="6">
      <t>ヨウ</t>
    </rPh>
    <rPh sb="6" eb="8">
      <t>ネフダ</t>
    </rPh>
    <rPh sb="8" eb="10">
      <t>ミホン</t>
    </rPh>
    <phoneticPr fontId="2"/>
  </si>
  <si>
    <t>R-dA005-50</t>
    <phoneticPr fontId="2"/>
  </si>
  <si>
    <t>7mm</t>
    <phoneticPr fontId="2"/>
  </si>
  <si>
    <t>SV900(Pt)</t>
    <phoneticPr fontId="2"/>
  </si>
  <si>
    <t>9mm</t>
    <phoneticPr fontId="2"/>
  </si>
  <si>
    <t>R-dA004-30</t>
    <phoneticPr fontId="2"/>
  </si>
  <si>
    <t>R-dA004-50</t>
    <phoneticPr fontId="2"/>
  </si>
  <si>
    <t>R-dA004-100</t>
    <phoneticPr fontId="2"/>
  </si>
  <si>
    <t>PD-PA006-90</t>
    <phoneticPr fontId="2"/>
  </si>
  <si>
    <t>PD-PA008-80</t>
    <phoneticPr fontId="2"/>
  </si>
  <si>
    <t>参考税込</t>
    <rPh sb="0" eb="2">
      <t>サンコウ</t>
    </rPh>
    <rPh sb="2" eb="4">
      <t>ゼイコミ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</si>
</sst>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¥&quot;#,##0;[Red]&quot;¥&quot;\-#,##0"/>
    <numFmt numFmtId="176" formatCode="&quot;¥&quot;#,##0_);[Red]\(&quot;¥&quot;#,##0\)"/>
    <numFmt numFmtId="177" formatCode="\(#\)"/>
    <numFmt numFmtId="178" formatCode="0.0"/>
    <numFmt numFmtId="179" formatCode="0.00&quot;g&quot;"/>
    <numFmt numFmtId="180" formatCode="&quot;¥&quot;#,##0_);\(&quot;¥&quot;#,##0\)"/>
  </numFmts>
  <fonts count="2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9"/>
      <color rgb="FF0000CC"/>
      <name val="ＭＳ Ｐゴシック"/>
      <family val="3"/>
      <charset val="128"/>
    </font>
    <font>
      <b/>
      <sz val="9"/>
      <color rgb="FFFF0000"/>
      <name val="ＭＳ Ｐゴシック"/>
      <family val="3"/>
      <charset val="128"/>
    </font>
    <font>
      <sz val="10"/>
      <name val="ＭＳ Ｐゴシック"/>
      <family val="3"/>
    </font>
    <font>
      <b/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1"/>
      <color rgb="FF0066FF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b/>
      <u/>
      <sz val="11"/>
      <color rgb="FF0066FF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66FF"/>
      <name val="ＭＳ Ｐゴシック"/>
      <family val="3"/>
      <charset val="128"/>
    </font>
    <font>
      <b/>
      <sz val="9"/>
      <color rgb="FF00B050"/>
      <name val="ＭＳ Ｐゴシック"/>
      <family val="2"/>
    </font>
    <font>
      <b/>
      <sz val="12"/>
      <name val="ＭＳ Ｐゴシック"/>
      <family val="2"/>
      <charset val="128"/>
    </font>
    <font>
      <b/>
      <sz val="9"/>
      <name val="ＭＳ Ｐゴシック"/>
      <family val="2"/>
    </font>
  </fonts>
  <fills count="4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/>
    <xf numFmtId="6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</cellStyleXfs>
  <cellXfs count="14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13" fillId="0" borderId="0" xfId="0" applyFont="1" applyProtection="1">
      <alignment vertical="center"/>
      <protection locked="0"/>
    </xf>
    <xf numFmtId="0" fontId="5" fillId="0" borderId="0" xfId="0" applyFont="1" applyProtection="1">
      <alignment vertical="center"/>
      <protection locked="0"/>
    </xf>
    <xf numFmtId="0" fontId="14" fillId="0" borderId="0" xfId="0" applyFont="1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0" fontId="10" fillId="0" borderId="6" xfId="3" applyNumberFormat="1" applyFont="1" applyFill="1" applyBorder="1" applyAlignment="1" applyProtection="1">
      <alignment horizontal="center" vertical="center" shrinkToFit="1"/>
      <protection locked="0"/>
    </xf>
    <xf numFmtId="0" fontId="10" fillId="0" borderId="0" xfId="3" applyNumberFormat="1" applyFont="1" applyFill="1" applyBorder="1" applyAlignment="1" applyProtection="1">
      <alignment horizontal="center" vertical="center" shrinkToFit="1"/>
      <protection locked="0"/>
    </xf>
    <xf numFmtId="0" fontId="11" fillId="0" borderId="10" xfId="3" applyNumberFormat="1" applyFont="1" applyFill="1" applyBorder="1" applyAlignment="1" applyProtection="1">
      <alignment horizontal="center" vertical="center" shrinkToFit="1"/>
      <protection locked="0"/>
    </xf>
    <xf numFmtId="0" fontId="9" fillId="0" borderId="5" xfId="0" applyFont="1" applyBorder="1" applyAlignment="1" applyProtection="1">
      <alignment horizontal="right" vertical="center" shrinkToFit="1"/>
      <protection locked="0"/>
    </xf>
    <xf numFmtId="0" fontId="4" fillId="0" borderId="5" xfId="3" applyNumberFormat="1" applyFont="1" applyFill="1" applyBorder="1" applyAlignment="1" applyProtection="1">
      <alignment horizontal="right" vertical="center" shrinkToFit="1"/>
      <protection locked="0"/>
    </xf>
    <xf numFmtId="0" fontId="12" fillId="0" borderId="0" xfId="0" applyFont="1" applyProtection="1">
      <alignment vertical="center"/>
      <protection locked="0"/>
    </xf>
    <xf numFmtId="0" fontId="12" fillId="0" borderId="0" xfId="0" applyFont="1" applyAlignment="1" applyProtection="1">
      <alignment horizontal="right" vertical="center"/>
      <protection locked="0"/>
    </xf>
    <xf numFmtId="6" fontId="2" fillId="0" borderId="6" xfId="4" applyFont="1" applyFill="1" applyBorder="1" applyAlignment="1" applyProtection="1">
      <alignment horizontal="right" vertical="center" shrinkToFit="1"/>
    </xf>
    <xf numFmtId="0" fontId="4" fillId="0" borderId="5" xfId="0" applyFont="1" applyBorder="1" applyAlignment="1" applyProtection="1">
      <alignment horizontal="center" vertical="center" shrinkToFit="1"/>
      <protection locked="0"/>
    </xf>
    <xf numFmtId="0" fontId="0" fillId="3" borderId="0" xfId="0" applyFill="1" applyProtection="1">
      <alignment vertical="center"/>
      <protection locked="0"/>
    </xf>
    <xf numFmtId="0" fontId="14" fillId="3" borderId="0" xfId="0" applyFont="1" applyFill="1" applyProtection="1">
      <alignment vertical="center"/>
      <protection locked="0"/>
    </xf>
    <xf numFmtId="0" fontId="4" fillId="0" borderId="5" xfId="0" applyFont="1" applyBorder="1" applyAlignment="1" applyProtection="1">
      <alignment horizontal="right" vertical="center" shrinkToFit="1"/>
      <protection locked="0"/>
    </xf>
    <xf numFmtId="0" fontId="11" fillId="0" borderId="16" xfId="3" applyNumberFormat="1" applyFont="1" applyFill="1" applyBorder="1" applyAlignment="1" applyProtection="1">
      <alignment horizontal="center" vertical="center" shrinkToFit="1"/>
      <protection locked="0"/>
    </xf>
    <xf numFmtId="0" fontId="9" fillId="0" borderId="4" xfId="0" applyFont="1" applyBorder="1" applyAlignment="1" applyProtection="1">
      <alignment horizontal="right" vertical="center" shrinkToFit="1"/>
      <protection locked="0"/>
    </xf>
    <xf numFmtId="0" fontId="4" fillId="0" borderId="4" xfId="3" applyNumberFormat="1" applyFont="1" applyFill="1" applyBorder="1" applyAlignment="1" applyProtection="1">
      <alignment horizontal="right" vertical="center" shrinkToFit="1"/>
      <protection locked="0"/>
    </xf>
    <xf numFmtId="0" fontId="4" fillId="0" borderId="4" xfId="0" applyFont="1" applyBorder="1" applyAlignment="1" applyProtection="1">
      <alignment horizontal="center" vertical="center" shrinkToFit="1"/>
      <protection locked="0"/>
    </xf>
    <xf numFmtId="6" fontId="2" fillId="0" borderId="6" xfId="4" applyFont="1" applyBorder="1" applyAlignment="1" applyProtection="1">
      <alignment horizontal="right" vertical="center" shrinkToFit="1"/>
    </xf>
    <xf numFmtId="178" fontId="4" fillId="0" borderId="5" xfId="0" applyNumberFormat="1" applyFont="1" applyBorder="1" applyAlignment="1" applyProtection="1">
      <alignment horizontal="center" vertical="center" shrinkToFit="1"/>
      <protection locked="0"/>
    </xf>
    <xf numFmtId="0" fontId="9" fillId="0" borderId="0" xfId="0" applyFont="1" applyAlignment="1">
      <alignment horizontal="center" vertical="center"/>
    </xf>
    <xf numFmtId="176" fontId="9" fillId="0" borderId="0" xfId="1" applyNumberFormat="1" applyFont="1" applyFill="1" applyBorder="1" applyAlignment="1" applyProtection="1">
      <alignment horizontal="center" vertical="center" shrinkToFit="1"/>
      <protection locked="0"/>
    </xf>
    <xf numFmtId="0" fontId="9" fillId="0" borderId="0" xfId="0" applyFont="1" applyAlignment="1" applyProtection="1">
      <alignment horizontal="right" vertical="center" shrinkToFit="1"/>
      <protection locked="0"/>
    </xf>
    <xf numFmtId="0" fontId="12" fillId="0" borderId="0" xfId="0" applyFont="1" applyAlignment="1" applyProtection="1">
      <alignment horizontal="center" vertical="center" shrinkToFi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 wrapText="1" shrinkToFit="1"/>
      <protection locked="0"/>
    </xf>
    <xf numFmtId="0" fontId="12" fillId="0" borderId="8" xfId="0" applyFont="1" applyBorder="1" applyAlignment="1" applyProtection="1">
      <alignment horizontal="center" vertical="center" shrinkToFit="1"/>
      <protection locked="0"/>
    </xf>
    <xf numFmtId="0" fontId="9" fillId="0" borderId="19" xfId="0" applyFont="1" applyBorder="1" applyAlignment="1" applyProtection="1">
      <alignment horizontal="center" vertical="center"/>
      <protection locked="0"/>
    </xf>
    <xf numFmtId="0" fontId="9" fillId="0" borderId="0" xfId="0" applyFont="1" applyProtection="1">
      <alignment vertical="center"/>
      <protection locked="0"/>
    </xf>
    <xf numFmtId="0" fontId="9" fillId="0" borderId="0" xfId="0" applyFont="1" applyAlignment="1" applyProtection="1">
      <alignment horizontal="right" vertical="center"/>
      <protection locked="0"/>
    </xf>
    <xf numFmtId="0" fontId="18" fillId="0" borderId="0" xfId="0" applyFont="1" applyAlignment="1" applyProtection="1">
      <alignment horizontal="center" vertical="center" shrinkToFit="1"/>
      <protection locked="0"/>
    </xf>
    <xf numFmtId="6" fontId="19" fillId="0" borderId="0" xfId="3" applyFont="1" applyFill="1" applyBorder="1" applyAlignment="1" applyProtection="1">
      <alignment horizontal="center" vertical="center" shrinkToFit="1"/>
    </xf>
    <xf numFmtId="0" fontId="7" fillId="0" borderId="0" xfId="3" applyNumberFormat="1" applyFont="1" applyFill="1" applyBorder="1" applyAlignment="1" applyProtection="1">
      <alignment horizontal="center" vertical="center" shrinkToFit="1"/>
      <protection locked="0"/>
    </xf>
    <xf numFmtId="0" fontId="18" fillId="0" borderId="0" xfId="3" applyNumberFormat="1" applyFont="1" applyFill="1" applyBorder="1" applyAlignment="1" applyProtection="1">
      <alignment horizontal="right" vertical="center" shrinkToFit="1"/>
      <protection locked="0"/>
    </xf>
    <xf numFmtId="0" fontId="17" fillId="0" borderId="0" xfId="0" applyFont="1" applyProtection="1">
      <alignment vertical="center"/>
      <protection locked="0"/>
    </xf>
    <xf numFmtId="0" fontId="9" fillId="0" borderId="0" xfId="0" applyFont="1" applyAlignment="1" applyProtection="1">
      <alignment horizontal="center" vertical="center" shrinkToFit="1"/>
      <protection locked="0"/>
    </xf>
    <xf numFmtId="0" fontId="20" fillId="0" borderId="0" xfId="0" applyFont="1" applyProtection="1">
      <alignment vertical="center"/>
      <protection locked="0"/>
    </xf>
    <xf numFmtId="0" fontId="9" fillId="0" borderId="0" xfId="0" applyFont="1" applyAlignment="1" applyProtection="1">
      <alignment horizontal="center" vertical="center" wrapText="1" shrinkToFit="1"/>
      <protection locked="0"/>
    </xf>
    <xf numFmtId="0" fontId="4" fillId="0" borderId="22" xfId="0" applyFont="1" applyBorder="1" applyAlignment="1" applyProtection="1">
      <alignment horizontal="center" vertical="center" shrinkToFit="1"/>
      <protection locked="0"/>
    </xf>
    <xf numFmtId="0" fontId="4" fillId="0" borderId="21" xfId="0" applyFont="1" applyBorder="1" applyAlignment="1" applyProtection="1">
      <alignment horizontal="center" vertical="center" shrinkToFit="1"/>
      <protection locked="0"/>
    </xf>
    <xf numFmtId="0" fontId="4" fillId="0" borderId="0" xfId="0" applyFont="1" applyAlignment="1" applyProtection="1">
      <alignment horizontal="center" vertical="center" shrinkToFit="1"/>
      <protection locked="0"/>
    </xf>
    <xf numFmtId="6" fontId="2" fillId="0" borderId="12" xfId="4" applyFont="1" applyBorder="1" applyAlignment="1" applyProtection="1">
      <alignment horizontal="right" vertical="center" shrinkToFit="1"/>
    </xf>
    <xf numFmtId="6" fontId="2" fillId="0" borderId="0" xfId="4" applyFont="1" applyFill="1" applyBorder="1" applyAlignment="1" applyProtection="1">
      <alignment horizontal="right" vertical="center" shrinkToFit="1"/>
    </xf>
    <xf numFmtId="0" fontId="10" fillId="0" borderId="12" xfId="3" applyNumberFormat="1" applyFont="1" applyFill="1" applyBorder="1" applyAlignment="1" applyProtection="1">
      <alignment horizontal="center" vertical="center" shrinkToFit="1"/>
      <protection locked="0"/>
    </xf>
    <xf numFmtId="0" fontId="11" fillId="0" borderId="0" xfId="3" applyNumberFormat="1" applyFont="1" applyFill="1" applyBorder="1" applyAlignment="1" applyProtection="1">
      <alignment horizontal="center" vertical="center" shrinkToFit="1"/>
      <protection locked="0"/>
    </xf>
    <xf numFmtId="0" fontId="4" fillId="0" borderId="0" xfId="3" applyNumberFormat="1" applyFont="1" applyFill="1" applyBorder="1" applyAlignment="1" applyProtection="1">
      <alignment horizontal="right" vertical="center" shrinkToFit="1"/>
      <protection locked="0"/>
    </xf>
    <xf numFmtId="0" fontId="4" fillId="0" borderId="27" xfId="3" applyNumberFormat="1" applyFont="1" applyFill="1" applyBorder="1" applyAlignment="1" applyProtection="1">
      <alignment horizontal="center" vertical="center" shrinkToFit="1"/>
      <protection locked="0"/>
    </xf>
    <xf numFmtId="0" fontId="4" fillId="0" borderId="29" xfId="3" applyNumberFormat="1" applyFont="1" applyFill="1" applyBorder="1" applyAlignment="1" applyProtection="1">
      <alignment horizontal="center" vertical="center" shrinkToFit="1"/>
      <protection locked="0"/>
    </xf>
    <xf numFmtId="6" fontId="22" fillId="0" borderId="12" xfId="4" applyFont="1" applyFill="1" applyBorder="1" applyAlignment="1" applyProtection="1">
      <alignment vertical="center" shrinkToFit="1"/>
    </xf>
    <xf numFmtId="6" fontId="22" fillId="0" borderId="11" xfId="4" applyFont="1" applyFill="1" applyBorder="1" applyAlignment="1" applyProtection="1">
      <alignment vertical="center" shrinkToFit="1"/>
    </xf>
    <xf numFmtId="6" fontId="22" fillId="0" borderId="15" xfId="4" applyFont="1" applyFill="1" applyBorder="1" applyAlignment="1" applyProtection="1">
      <alignment vertical="center" shrinkToFit="1"/>
    </xf>
    <xf numFmtId="6" fontId="22" fillId="0" borderId="6" xfId="4" applyFont="1" applyFill="1" applyBorder="1" applyAlignment="1" applyProtection="1">
      <alignment vertical="center" shrinkToFit="1"/>
    </xf>
    <xf numFmtId="6" fontId="22" fillId="0" borderId="14" xfId="4" applyFont="1" applyFill="1" applyBorder="1" applyAlignment="1" applyProtection="1">
      <alignment vertical="center" shrinkToFit="1"/>
    </xf>
    <xf numFmtId="0" fontId="9" fillId="0" borderId="24" xfId="3" applyNumberFormat="1" applyFont="1" applyFill="1" applyBorder="1" applyAlignment="1" applyProtection="1">
      <alignment vertical="center" shrinkToFit="1"/>
    </xf>
    <xf numFmtId="0" fontId="12" fillId="0" borderId="4" xfId="3" applyNumberFormat="1" applyFont="1" applyFill="1" applyBorder="1" applyAlignment="1" applyProtection="1">
      <alignment vertical="center" shrinkToFit="1"/>
    </xf>
    <xf numFmtId="179" fontId="9" fillId="0" borderId="5" xfId="0" applyNumberFormat="1" applyFont="1" applyBorder="1" applyAlignment="1" applyProtection="1">
      <alignment horizontal="right" vertical="center" shrinkToFit="1"/>
      <protection locked="0"/>
    </xf>
    <xf numFmtId="0" fontId="9" fillId="0" borderId="1" xfId="3" applyNumberFormat="1" applyFont="1" applyFill="1" applyBorder="1" applyAlignment="1" applyProtection="1">
      <alignment vertical="center" shrinkToFit="1"/>
    </xf>
    <xf numFmtId="179" fontId="9" fillId="0" borderId="31" xfId="0" applyNumberFormat="1" applyFont="1" applyBorder="1" applyAlignment="1" applyProtection="1">
      <alignment horizontal="right" vertical="center" shrinkToFit="1"/>
      <protection locked="0"/>
    </xf>
    <xf numFmtId="177" fontId="3" fillId="0" borderId="24" xfId="3" applyNumberFormat="1" applyFont="1" applyFill="1" applyBorder="1" applyAlignment="1" applyProtection="1">
      <alignment vertical="center" shrinkToFit="1"/>
      <protection locked="0"/>
    </xf>
    <xf numFmtId="180" fontId="18" fillId="0" borderId="5" xfId="3" applyNumberFormat="1" applyFont="1" applyFill="1" applyBorder="1" applyAlignment="1" applyProtection="1">
      <alignment vertical="center" shrinkToFit="1"/>
      <protection locked="0"/>
    </xf>
    <xf numFmtId="177" fontId="3" fillId="0" borderId="1" xfId="3" applyNumberFormat="1" applyFont="1" applyFill="1" applyBorder="1" applyAlignment="1" applyProtection="1">
      <alignment vertical="center" shrinkToFit="1"/>
      <protection locked="0"/>
    </xf>
    <xf numFmtId="180" fontId="18" fillId="0" borderId="31" xfId="3" applyNumberFormat="1" applyFont="1" applyFill="1" applyBorder="1" applyAlignment="1" applyProtection="1">
      <alignment vertical="center" shrinkToFit="1"/>
      <protection locked="0"/>
    </xf>
    <xf numFmtId="0" fontId="12" fillId="0" borderId="1" xfId="3" applyNumberFormat="1" applyFont="1" applyFill="1" applyBorder="1" applyAlignment="1" applyProtection="1">
      <alignment horizontal="left" vertical="center" shrinkToFit="1"/>
    </xf>
    <xf numFmtId="0" fontId="12" fillId="0" borderId="4" xfId="3" applyNumberFormat="1" applyFont="1" applyFill="1" applyBorder="1" applyAlignment="1" applyProtection="1">
      <alignment horizontal="left" vertical="center" shrinkToFit="1"/>
    </xf>
    <xf numFmtId="177" fontId="3" fillId="0" borderId="1" xfId="3" applyNumberFormat="1" applyFont="1" applyFill="1" applyBorder="1" applyAlignment="1" applyProtection="1">
      <alignment horizontal="left" vertical="center" shrinkToFit="1"/>
      <protection locked="0"/>
    </xf>
    <xf numFmtId="177" fontId="3" fillId="0" borderId="4" xfId="3" applyNumberFormat="1" applyFont="1" applyFill="1" applyBorder="1" applyAlignment="1" applyProtection="1">
      <alignment horizontal="left" vertical="center" shrinkToFit="1"/>
      <protection locked="0"/>
    </xf>
    <xf numFmtId="0" fontId="9" fillId="0" borderId="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76" fontId="9" fillId="0" borderId="8" xfId="1" applyNumberFormat="1" applyFont="1" applyFill="1" applyBorder="1" applyAlignment="1" applyProtection="1">
      <alignment horizontal="center" vertical="center" shrinkToFit="1"/>
      <protection locked="0"/>
    </xf>
    <xf numFmtId="176" fontId="9" fillId="0" borderId="9" xfId="1" applyNumberFormat="1" applyFont="1" applyFill="1" applyBorder="1" applyAlignment="1" applyProtection="1">
      <alignment horizontal="center" vertical="center" shrinkToFit="1"/>
      <protection locked="0"/>
    </xf>
    <xf numFmtId="6" fontId="8" fillId="0" borderId="7" xfId="3" applyFont="1" applyFill="1" applyBorder="1" applyAlignment="1" applyProtection="1">
      <alignment horizontal="right" vertical="center" shrinkToFit="1"/>
    </xf>
    <xf numFmtId="6" fontId="8" fillId="0" borderId="8" xfId="3" applyFont="1" applyFill="1" applyBorder="1" applyAlignment="1" applyProtection="1">
      <alignment horizontal="right" vertical="center" shrinkToFit="1"/>
    </xf>
    <xf numFmtId="6" fontId="6" fillId="0" borderId="4" xfId="3" applyFont="1" applyFill="1" applyBorder="1" applyAlignment="1" applyProtection="1">
      <alignment horizontal="center" vertical="center" shrinkToFit="1"/>
    </xf>
    <xf numFmtId="6" fontId="6" fillId="0" borderId="5" xfId="3" applyFont="1" applyFill="1" applyBorder="1" applyAlignment="1" applyProtection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 applyProtection="1">
      <alignment horizontal="center" vertical="center" wrapText="1" shrinkToFit="1"/>
      <protection locked="0"/>
    </xf>
    <xf numFmtId="0" fontId="10" fillId="0" borderId="4" xfId="0" applyFont="1" applyBorder="1" applyAlignment="1" applyProtection="1">
      <alignment horizontal="center" vertical="center" shrinkToFit="1"/>
      <protection locked="0"/>
    </xf>
    <xf numFmtId="0" fontId="10" fillId="0" borderId="5" xfId="0" applyFont="1" applyBorder="1" applyAlignment="1" applyProtection="1">
      <alignment horizontal="center" vertical="center" shrinkToFit="1"/>
      <protection locked="0"/>
    </xf>
    <xf numFmtId="0" fontId="3" fillId="0" borderId="1" xfId="0" applyFont="1" applyBorder="1" applyAlignment="1" applyProtection="1">
      <alignment horizontal="left" vertical="center" shrinkToFit="1"/>
      <protection locked="0"/>
    </xf>
    <xf numFmtId="0" fontId="3" fillId="0" borderId="4" xfId="0" applyFont="1" applyBorder="1" applyAlignment="1" applyProtection="1">
      <alignment horizontal="left" vertical="center" shrinkToFit="1"/>
      <protection locked="0"/>
    </xf>
    <xf numFmtId="6" fontId="6" fillId="2" borderId="4" xfId="3" applyFont="1" applyFill="1" applyBorder="1" applyAlignment="1" applyProtection="1">
      <alignment horizontal="center" vertical="center" shrinkToFit="1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77" fontId="3" fillId="3" borderId="1" xfId="3" applyNumberFormat="1" applyFont="1" applyFill="1" applyBorder="1" applyAlignment="1" applyProtection="1">
      <alignment horizontal="left" vertical="center" shrinkToFit="1"/>
      <protection locked="0"/>
    </xf>
    <xf numFmtId="177" fontId="3" fillId="3" borderId="4" xfId="3" applyNumberFormat="1" applyFont="1" applyFill="1" applyBorder="1" applyAlignment="1" applyProtection="1">
      <alignment horizontal="left" vertical="center" shrinkToFit="1"/>
      <protection locked="0"/>
    </xf>
    <xf numFmtId="0" fontId="12" fillId="2" borderId="1" xfId="3" applyNumberFormat="1" applyFont="1" applyFill="1" applyBorder="1" applyAlignment="1" applyProtection="1">
      <alignment horizontal="left" vertical="center" shrinkToFit="1"/>
    </xf>
    <xf numFmtId="0" fontId="12" fillId="2" borderId="4" xfId="3" applyNumberFormat="1" applyFont="1" applyFill="1" applyBorder="1" applyAlignment="1" applyProtection="1">
      <alignment horizontal="left" vertical="center" shrinkToFit="1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1" fillId="0" borderId="1" xfId="0" applyFont="1" applyBorder="1" applyAlignment="1" applyProtection="1">
      <alignment horizontal="center" vertical="center" wrapText="1" shrinkToFit="1"/>
      <protection locked="0"/>
    </xf>
    <xf numFmtId="0" fontId="11" fillId="0" borderId="4" xfId="0" applyFont="1" applyBorder="1" applyAlignment="1" applyProtection="1">
      <alignment horizontal="center" vertical="center" shrinkToFit="1"/>
      <protection locked="0"/>
    </xf>
    <xf numFmtId="0" fontId="12" fillId="0" borderId="1" xfId="0" applyFont="1" applyBorder="1" applyAlignment="1" applyProtection="1">
      <alignment horizontal="center" vertical="center" wrapText="1" shrinkToFit="1"/>
      <protection locked="0"/>
    </xf>
    <xf numFmtId="0" fontId="12" fillId="0" borderId="4" xfId="0" applyFont="1" applyBorder="1" applyAlignment="1" applyProtection="1">
      <alignment horizontal="center" vertical="center" shrinkToFit="1"/>
      <protection locked="0"/>
    </xf>
    <xf numFmtId="0" fontId="12" fillId="0" borderId="5" xfId="0" applyFont="1" applyBorder="1" applyAlignment="1" applyProtection="1">
      <alignment horizontal="center" vertical="center" shrinkToFit="1"/>
      <protection locked="0"/>
    </xf>
    <xf numFmtId="0" fontId="11" fillId="0" borderId="5" xfId="0" applyFont="1" applyBorder="1" applyAlignment="1" applyProtection="1">
      <alignment horizontal="center" vertical="center" shrinkToFit="1"/>
      <protection locked="0"/>
    </xf>
    <xf numFmtId="0" fontId="10" fillId="0" borderId="4" xfId="0" applyFont="1" applyBorder="1" applyAlignment="1" applyProtection="1">
      <alignment horizontal="center" vertical="center" wrapText="1" shrinkToFit="1"/>
      <protection locked="0"/>
    </xf>
    <xf numFmtId="0" fontId="9" fillId="0" borderId="1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0" fillId="0" borderId="19" xfId="0" applyBorder="1" applyAlignment="1" applyProtection="1">
      <alignment horizontal="center" vertical="center"/>
      <protection locked="0"/>
    </xf>
    <xf numFmtId="0" fontId="9" fillId="0" borderId="19" xfId="0" applyFont="1" applyBorder="1" applyAlignment="1" applyProtection="1">
      <alignment horizontal="center" vertical="center"/>
      <protection locked="0"/>
    </xf>
    <xf numFmtId="6" fontId="7" fillId="0" borderId="1" xfId="4" applyFont="1" applyFill="1" applyBorder="1" applyAlignment="1" applyProtection="1">
      <alignment horizontal="center" vertical="center" shrinkToFit="1"/>
    </xf>
    <xf numFmtId="6" fontId="7" fillId="0" borderId="4" xfId="4" applyFont="1" applyFill="1" applyBorder="1" applyAlignment="1" applyProtection="1">
      <alignment horizontal="center" vertical="center" shrinkToFit="1"/>
    </xf>
    <xf numFmtId="6" fontId="7" fillId="0" borderId="5" xfId="4" applyFont="1" applyFill="1" applyBorder="1" applyAlignment="1" applyProtection="1">
      <alignment horizontal="center" vertical="center" shrinkToFit="1"/>
    </xf>
    <xf numFmtId="6" fontId="22" fillId="0" borderId="13" xfId="4" applyFont="1" applyFill="1" applyBorder="1" applyAlignment="1" applyProtection="1">
      <alignment horizontal="center" vertical="center" shrinkToFit="1"/>
    </xf>
    <xf numFmtId="6" fontId="22" fillId="0" borderId="8" xfId="4" applyFont="1" applyFill="1" applyBorder="1" applyAlignment="1" applyProtection="1">
      <alignment horizontal="center" vertical="center" shrinkToFit="1"/>
    </xf>
    <xf numFmtId="6" fontId="22" fillId="0" borderId="9" xfId="4" applyFont="1" applyFill="1" applyBorder="1" applyAlignment="1" applyProtection="1">
      <alignment horizontal="center" vertical="center" shrinkToFit="1"/>
    </xf>
    <xf numFmtId="6" fontId="22" fillId="0" borderId="12" xfId="4" applyFont="1" applyFill="1" applyBorder="1" applyAlignment="1" applyProtection="1">
      <alignment horizontal="center" vertical="center" shrinkToFit="1"/>
    </xf>
    <xf numFmtId="6" fontId="22" fillId="0" borderId="11" xfId="4" applyFont="1" applyFill="1" applyBorder="1" applyAlignment="1" applyProtection="1">
      <alignment horizontal="center" vertical="center" shrinkToFit="1"/>
    </xf>
    <xf numFmtId="6" fontId="22" fillId="0" borderId="15" xfId="4" applyFont="1" applyFill="1" applyBorder="1" applyAlignment="1" applyProtection="1">
      <alignment horizontal="center" vertical="center" shrinkToFit="1"/>
    </xf>
    <xf numFmtId="177" fontId="9" fillId="0" borderId="4" xfId="3" applyNumberFormat="1" applyFont="1" applyFill="1" applyBorder="1" applyAlignment="1" applyProtection="1">
      <alignment horizontal="center" vertical="center" shrinkToFit="1"/>
      <protection locked="0"/>
    </xf>
    <xf numFmtId="6" fontId="23" fillId="0" borderId="32" xfId="0" applyNumberFormat="1" applyFont="1" applyBorder="1" applyAlignment="1" applyProtection="1">
      <alignment horizontal="center" vertical="center" wrapText="1" shrinkToFit="1"/>
      <protection locked="0"/>
    </xf>
    <xf numFmtId="0" fontId="23" fillId="0" borderId="33" xfId="0" applyFont="1" applyBorder="1" applyAlignment="1" applyProtection="1">
      <alignment horizontal="center" vertical="center" shrinkToFit="1"/>
      <protection locked="0"/>
    </xf>
    <xf numFmtId="0" fontId="23" fillId="0" borderId="34" xfId="0" applyFont="1" applyBorder="1" applyAlignment="1" applyProtection="1">
      <alignment horizontal="center" vertical="center" shrinkToFit="1"/>
      <protection locked="0"/>
    </xf>
    <xf numFmtId="0" fontId="21" fillId="0" borderId="25" xfId="0" applyFont="1" applyBorder="1" applyAlignment="1" applyProtection="1">
      <alignment horizontal="left" vertical="center" shrinkToFit="1"/>
      <protection locked="0"/>
    </xf>
    <xf numFmtId="0" fontId="21" fillId="0" borderId="26" xfId="0" applyFont="1" applyBorder="1" applyAlignment="1" applyProtection="1">
      <alignment horizontal="left" vertical="center" shrinkToFit="1"/>
      <protection locked="0"/>
    </xf>
    <xf numFmtId="0" fontId="11" fillId="0" borderId="0" xfId="0" applyFont="1" applyAlignment="1" applyProtection="1">
      <alignment horizontal="center" vertical="center" wrapText="1" shrinkToFit="1"/>
      <protection locked="0"/>
    </xf>
    <xf numFmtId="0" fontId="11" fillId="0" borderId="0" xfId="0" applyFont="1" applyAlignment="1" applyProtection="1">
      <alignment horizontal="center" vertical="center" shrinkToFit="1"/>
      <protection locked="0"/>
    </xf>
    <xf numFmtId="177" fontId="3" fillId="0" borderId="0" xfId="3" applyNumberFormat="1" applyFont="1" applyFill="1" applyBorder="1" applyAlignment="1" applyProtection="1">
      <alignment horizontal="left" vertical="center" shrinkToFit="1"/>
      <protection locked="0"/>
    </xf>
    <xf numFmtId="6" fontId="23" fillId="0" borderId="35" xfId="0" applyNumberFormat="1" applyFont="1" applyBorder="1" applyAlignment="1" applyProtection="1">
      <alignment horizontal="center" vertical="center" wrapText="1" shrinkToFit="1"/>
      <protection locked="0"/>
    </xf>
    <xf numFmtId="0" fontId="23" fillId="0" borderId="36" xfId="0" applyFont="1" applyBorder="1" applyAlignment="1" applyProtection="1">
      <alignment horizontal="center" vertical="center" shrinkToFit="1"/>
      <protection locked="0"/>
    </xf>
    <xf numFmtId="6" fontId="22" fillId="0" borderId="7" xfId="4" applyFont="1" applyFill="1" applyBorder="1" applyAlignment="1" applyProtection="1">
      <alignment horizontal="center" vertical="center" shrinkToFit="1"/>
    </xf>
    <xf numFmtId="6" fontId="22" fillId="0" borderId="30" xfId="4" applyFont="1" applyFill="1" applyBorder="1" applyAlignment="1" applyProtection="1">
      <alignment horizontal="center" vertical="center" shrinkToFit="1"/>
    </xf>
    <xf numFmtId="6" fontId="22" fillId="0" borderId="6" xfId="4" applyFont="1" applyFill="1" applyBorder="1" applyAlignment="1" applyProtection="1">
      <alignment horizontal="center" vertical="center" shrinkToFit="1"/>
    </xf>
    <xf numFmtId="6" fontId="22" fillId="0" borderId="14" xfId="4" applyFont="1" applyFill="1" applyBorder="1" applyAlignment="1" applyProtection="1">
      <alignment horizontal="center" vertical="center" shrinkToFit="1"/>
    </xf>
    <xf numFmtId="6" fontId="6" fillId="0" borderId="0" xfId="3" applyFont="1" applyFill="1" applyBorder="1" applyAlignment="1" applyProtection="1">
      <alignment horizontal="center" vertical="center" shrinkToFit="1"/>
    </xf>
    <xf numFmtId="6" fontId="8" fillId="0" borderId="0" xfId="3" applyFont="1" applyFill="1" applyBorder="1" applyAlignment="1" applyProtection="1">
      <alignment horizontal="right" vertical="center" shrinkToFit="1"/>
    </xf>
    <xf numFmtId="176" fontId="9" fillId="0" borderId="0" xfId="1" applyNumberFormat="1" applyFont="1" applyFill="1" applyBorder="1" applyAlignment="1" applyProtection="1">
      <alignment horizontal="center" vertical="center" shrinkToFit="1"/>
      <protection locked="0"/>
    </xf>
    <xf numFmtId="0" fontId="12" fillId="0" borderId="0" xfId="3" applyNumberFormat="1" applyFont="1" applyFill="1" applyBorder="1" applyAlignment="1" applyProtection="1">
      <alignment horizontal="left" vertical="center" shrinkToFit="1"/>
    </xf>
    <xf numFmtId="0" fontId="21" fillId="0" borderId="28" xfId="0" applyFont="1" applyBorder="1" applyAlignment="1" applyProtection="1">
      <alignment horizontal="left" vertical="center" shrinkToFit="1"/>
      <protection locked="0"/>
    </xf>
    <xf numFmtId="0" fontId="3" fillId="0" borderId="0" xfId="0" applyFont="1" applyAlignment="1" applyProtection="1">
      <alignment horizontal="left" vertical="center" shrinkToFit="1"/>
      <protection locked="0"/>
    </xf>
    <xf numFmtId="0" fontId="11" fillId="0" borderId="24" xfId="0" applyFont="1" applyBorder="1" applyAlignment="1" applyProtection="1">
      <alignment horizontal="center" vertical="center" wrapText="1" shrinkToFit="1"/>
      <protection locked="0"/>
    </xf>
    <xf numFmtId="177" fontId="3" fillId="3" borderId="24" xfId="3" applyNumberFormat="1" applyFont="1" applyFill="1" applyBorder="1" applyAlignment="1" applyProtection="1">
      <alignment horizontal="left" vertical="center" shrinkToFit="1"/>
      <protection locked="0"/>
    </xf>
    <xf numFmtId="0" fontId="12" fillId="2" borderId="24" xfId="3" applyNumberFormat="1" applyFont="1" applyFill="1" applyBorder="1" applyAlignment="1" applyProtection="1">
      <alignment horizontal="left" vertical="center" shrinkToFit="1"/>
    </xf>
    <xf numFmtId="6" fontId="8" fillId="0" borderId="13" xfId="3" applyFont="1" applyFill="1" applyBorder="1" applyAlignment="1" applyProtection="1">
      <alignment horizontal="right" vertical="center" shrinkToFit="1"/>
    </xf>
    <xf numFmtId="0" fontId="3" fillId="0" borderId="23" xfId="0" applyFont="1" applyBorder="1" applyAlignment="1" applyProtection="1">
      <alignment horizontal="left" vertical="center" shrinkToFit="1"/>
      <protection locked="0"/>
    </xf>
    <xf numFmtId="0" fontId="3" fillId="0" borderId="21" xfId="0" applyFont="1" applyBorder="1" applyAlignment="1" applyProtection="1">
      <alignment horizontal="left" vertical="center" shrinkToFit="1"/>
      <protection locked="0"/>
    </xf>
    <xf numFmtId="6" fontId="6" fillId="2" borderId="5" xfId="3" applyFont="1" applyFill="1" applyBorder="1" applyAlignment="1" applyProtection="1">
      <alignment horizontal="center" vertical="center" shrinkToFit="1"/>
    </xf>
    <xf numFmtId="0" fontId="3" fillId="0" borderId="20" xfId="0" applyFont="1" applyBorder="1" applyAlignment="1" applyProtection="1">
      <alignment horizontal="left" vertical="center" shrinkToFit="1"/>
      <protection locked="0"/>
    </xf>
  </cellXfs>
  <cellStyles count="5">
    <cellStyle name="桁区切り" xfId="1" builtinId="6"/>
    <cellStyle name="通貨" xfId="3" builtinId="7"/>
    <cellStyle name="通貨 2" xfId="4" xr:uid="{00000000-0005-0000-0000-000002000000}"/>
    <cellStyle name="標準" xfId="0" builtinId="0"/>
    <cellStyle name="標準 2" xfId="2" xr:uid="{00000000-0005-0000-0000-000004000000}"/>
  </cellStyles>
  <dxfs count="604"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B050"/>
      </font>
    </dxf>
    <dxf>
      <font>
        <color rgb="FFFF00FF"/>
      </font>
    </dxf>
    <dxf>
      <font>
        <color rgb="FF9933FF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FF"/>
      </font>
    </dxf>
    <dxf>
      <font>
        <color rgb="FF9933FF"/>
      </font>
    </dxf>
    <dxf>
      <font>
        <color rgb="FFFF0000"/>
      </font>
    </dxf>
    <dxf>
      <font>
        <color rgb="FF00B050"/>
      </font>
    </dxf>
    <dxf>
      <font>
        <color rgb="FF9933FF"/>
      </font>
    </dxf>
    <dxf>
      <font>
        <color rgb="FFFF00FF"/>
      </font>
    </dxf>
    <dxf>
      <font>
        <color rgb="FFFF0000"/>
      </font>
    </dxf>
    <dxf>
      <font>
        <color rgb="FF00B050"/>
      </font>
    </dxf>
    <dxf>
      <font>
        <color rgb="FFFF00FF"/>
      </font>
    </dxf>
    <dxf>
      <font>
        <color rgb="FF9933FF"/>
      </font>
    </dxf>
    <dxf>
      <font>
        <color rgb="FF00B050"/>
      </font>
    </dxf>
    <dxf>
      <font>
        <color rgb="FFFF00FF"/>
      </font>
    </dxf>
    <dxf>
      <font>
        <color rgb="FF9933FF"/>
      </font>
    </dxf>
    <dxf>
      <font>
        <color rgb="FFFF0000"/>
      </font>
    </dxf>
    <dxf>
      <font>
        <color rgb="FF0066FF"/>
      </font>
    </dxf>
    <dxf>
      <font>
        <color rgb="FF0066FF"/>
      </font>
    </dxf>
    <dxf>
      <font>
        <color rgb="FFFF00FF"/>
      </font>
    </dxf>
    <dxf>
      <font>
        <color rgb="FF9933FF"/>
      </font>
    </dxf>
    <dxf>
      <font>
        <color rgb="FF0066FF"/>
      </font>
    </dxf>
    <dxf>
      <font>
        <color rgb="FF00B050"/>
      </font>
    </dxf>
    <dxf>
      <font>
        <color rgb="FFFF0000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FF0000"/>
      </font>
    </dxf>
    <dxf>
      <font>
        <color rgb="FF00B050"/>
      </font>
    </dxf>
    <dxf>
      <font>
        <color rgb="FFFF00FF"/>
      </font>
    </dxf>
    <dxf>
      <font>
        <color rgb="FF9933FF"/>
      </font>
    </dxf>
    <dxf>
      <font>
        <color rgb="FF0066FF"/>
      </font>
    </dxf>
    <dxf>
      <font>
        <color rgb="FF0066FF"/>
      </font>
    </dxf>
    <dxf>
      <font>
        <color rgb="FFFF0000"/>
      </font>
    </dxf>
    <dxf>
      <font>
        <color rgb="FF00B050"/>
      </font>
    </dxf>
    <dxf>
      <font>
        <color rgb="FFFF00FF"/>
      </font>
    </dxf>
    <dxf>
      <font>
        <color rgb="FF0066FF"/>
      </font>
    </dxf>
    <dxf>
      <font>
        <color rgb="FF9933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FF0000"/>
      </font>
    </dxf>
    <dxf>
      <font>
        <color rgb="FF00B050"/>
      </font>
    </dxf>
    <dxf>
      <font>
        <color rgb="FFFF00FF"/>
      </font>
    </dxf>
    <dxf>
      <font>
        <color rgb="FF9933FF"/>
      </font>
    </dxf>
    <dxf>
      <font>
        <color rgb="FF0066FF"/>
      </font>
    </dxf>
    <dxf>
      <font>
        <color rgb="FF0066FF"/>
      </font>
    </dxf>
    <dxf>
      <font>
        <color rgb="FF00B050"/>
      </font>
    </dxf>
    <dxf>
      <font>
        <color rgb="FFFF0000"/>
      </font>
    </dxf>
    <dxf>
      <font>
        <color rgb="FF0066FF"/>
      </font>
    </dxf>
    <dxf>
      <font>
        <color rgb="FF9933FF"/>
      </font>
    </dxf>
    <dxf>
      <font>
        <color rgb="FFFF00FF"/>
      </font>
    </dxf>
    <dxf>
      <font>
        <color rgb="FF9933FF"/>
      </font>
    </dxf>
    <dxf>
      <font>
        <color rgb="FFFF00FF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FF"/>
      </font>
    </dxf>
    <dxf>
      <font>
        <color rgb="FF9933FF"/>
      </font>
    </dxf>
    <dxf>
      <font>
        <color rgb="FF9933FF"/>
      </font>
    </dxf>
    <dxf>
      <font>
        <color rgb="FFFF00FF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9933FF"/>
      </font>
    </dxf>
    <dxf>
      <font>
        <color rgb="FFFF00FF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FF"/>
      </font>
    </dxf>
    <dxf>
      <font>
        <color rgb="FF9933FF"/>
      </font>
    </dxf>
    <dxf>
      <font>
        <color rgb="FF9933FF"/>
      </font>
    </dxf>
    <dxf>
      <font>
        <color rgb="FFFF00FF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9933FF"/>
      </font>
    </dxf>
    <dxf>
      <font>
        <color rgb="FFFF00FF"/>
      </font>
    </dxf>
    <dxf>
      <font>
        <color rgb="FF00B050"/>
      </font>
    </dxf>
    <dxf>
      <font>
        <color rgb="FF00B050"/>
      </font>
    </dxf>
    <dxf>
      <font>
        <color rgb="FF9933FF"/>
      </font>
    </dxf>
    <dxf>
      <font>
        <color rgb="FFFF00FF"/>
      </font>
    </dxf>
    <dxf>
      <font>
        <color rgb="FFFF0000"/>
      </font>
    </dxf>
    <dxf>
      <font>
        <color rgb="FF9933FF"/>
      </font>
    </dxf>
    <dxf>
      <font>
        <color rgb="FFFF00FF"/>
      </font>
    </dxf>
    <dxf>
      <font>
        <color rgb="FF00B050"/>
      </font>
    </dxf>
    <dxf>
      <font>
        <color rgb="FFFF0000"/>
      </font>
    </dxf>
    <dxf>
      <font>
        <color rgb="FF9933FF"/>
      </font>
    </dxf>
    <dxf>
      <font>
        <color rgb="FFFF00FF"/>
      </font>
    </dxf>
    <dxf>
      <font>
        <color rgb="FF00B050"/>
      </font>
    </dxf>
    <dxf>
      <font>
        <color rgb="FFFF0000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FF0000"/>
      </font>
    </dxf>
    <dxf>
      <font>
        <color rgb="FFFF00FF"/>
      </font>
    </dxf>
    <dxf>
      <font>
        <color rgb="FF9933FF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FF"/>
      </font>
    </dxf>
    <dxf>
      <font>
        <color rgb="FF9933FF"/>
      </font>
    </dxf>
    <dxf>
      <font>
        <color rgb="FF00B050"/>
      </font>
    </dxf>
    <dxf>
      <font>
        <color rgb="FFFF00FF"/>
      </font>
    </dxf>
    <dxf>
      <font>
        <color rgb="FF9933FF"/>
      </font>
    </dxf>
    <dxf>
      <font>
        <color rgb="FFFF0000"/>
      </font>
    </dxf>
    <dxf>
      <font>
        <color rgb="FF9933FF"/>
      </font>
    </dxf>
    <dxf>
      <font>
        <color rgb="FFFF00FF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9933FF"/>
      </font>
    </dxf>
    <dxf>
      <font>
        <color rgb="FFFF00FF"/>
      </font>
    </dxf>
    <dxf>
      <font>
        <color rgb="FF9933FF"/>
      </font>
    </dxf>
    <dxf>
      <font>
        <color rgb="FFFF00FF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FF"/>
      </font>
    </dxf>
    <dxf>
      <font>
        <color rgb="FF9933FF"/>
      </font>
    </dxf>
    <dxf>
      <font>
        <color rgb="FFFF0000"/>
      </font>
    </dxf>
    <dxf>
      <font>
        <color rgb="FF00B050"/>
      </font>
    </dxf>
    <dxf>
      <font>
        <color rgb="FFFF00FF"/>
      </font>
    </dxf>
    <dxf>
      <font>
        <color rgb="FF9933FF"/>
      </font>
    </dxf>
    <dxf>
      <font>
        <color rgb="FFFF0000"/>
      </font>
    </dxf>
    <dxf>
      <font>
        <color rgb="FFFF00FF"/>
      </font>
    </dxf>
    <dxf>
      <font>
        <color rgb="FF00B050"/>
      </font>
    </dxf>
    <dxf>
      <font>
        <color rgb="FF9933FF"/>
      </font>
    </dxf>
    <dxf>
      <font>
        <color rgb="FFFF0000"/>
      </font>
    </dxf>
    <dxf>
      <font>
        <color rgb="FF00B050"/>
      </font>
    </dxf>
    <dxf>
      <font>
        <color rgb="FFFF00FF"/>
      </font>
    </dxf>
    <dxf>
      <font>
        <color rgb="FF9933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B050"/>
      </font>
    </dxf>
    <dxf>
      <font>
        <color rgb="FFFF0000"/>
      </font>
    </dxf>
    <dxf>
      <font>
        <color rgb="FFFF00FF"/>
      </font>
    </dxf>
    <dxf>
      <font>
        <color rgb="FF9933FF"/>
      </font>
    </dxf>
    <dxf>
      <font>
        <color rgb="FFFF00FF"/>
      </font>
    </dxf>
    <dxf>
      <font>
        <color rgb="FF00B050"/>
      </font>
    </dxf>
    <dxf>
      <font>
        <color rgb="FFFF0000"/>
      </font>
    </dxf>
    <dxf>
      <font>
        <color rgb="FF9933FF"/>
      </font>
    </dxf>
    <dxf>
      <font>
        <color rgb="FF9933FF"/>
      </font>
    </dxf>
    <dxf>
      <font>
        <color rgb="FFFF00FF"/>
      </font>
    </dxf>
    <dxf>
      <font>
        <color rgb="FFFF0000"/>
      </font>
    </dxf>
    <dxf>
      <font>
        <color rgb="FF00B050"/>
      </font>
    </dxf>
    <dxf>
      <font>
        <color rgb="FFFF00FF"/>
      </font>
    </dxf>
    <dxf>
      <font>
        <color rgb="FF9933FF"/>
      </font>
    </dxf>
    <dxf>
      <font>
        <color rgb="FFFF0000"/>
      </font>
    </dxf>
    <dxf>
      <font>
        <color rgb="FF00B050"/>
      </font>
    </dxf>
    <dxf>
      <font>
        <color rgb="FF9933FF"/>
      </font>
    </dxf>
    <dxf>
      <font>
        <color rgb="FFFF00FF"/>
      </font>
    </dxf>
    <dxf>
      <font>
        <color rgb="FF00B050"/>
      </font>
    </dxf>
    <dxf>
      <font>
        <color rgb="FFFF0000"/>
      </font>
    </dxf>
    <dxf>
      <font>
        <color rgb="FF9933FF"/>
      </font>
    </dxf>
    <dxf>
      <font>
        <color rgb="FFFF00FF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FF"/>
      </font>
    </dxf>
    <dxf>
      <font>
        <color rgb="FF9933FF"/>
      </font>
    </dxf>
    <dxf>
      <font>
        <color rgb="FFFF0000"/>
      </font>
    </dxf>
    <dxf>
      <font>
        <color rgb="FF00B050"/>
      </font>
    </dxf>
    <dxf>
      <font>
        <color rgb="FFFF00FF"/>
      </font>
    </dxf>
    <dxf>
      <font>
        <color rgb="FF9933FF"/>
      </font>
    </dxf>
    <dxf>
      <font>
        <color rgb="FF00B050"/>
      </font>
    </dxf>
    <dxf>
      <font>
        <color rgb="FF9933FF"/>
      </font>
    </dxf>
    <dxf>
      <font>
        <color rgb="FFFF00FF"/>
      </font>
    </dxf>
    <dxf>
      <font>
        <color rgb="FFFF0000"/>
      </font>
    </dxf>
    <dxf>
      <font>
        <color rgb="FFFF00FF"/>
      </font>
    </dxf>
    <dxf>
      <font>
        <color rgb="FF00B050"/>
      </font>
    </dxf>
    <dxf>
      <font>
        <color rgb="FFFF0000"/>
      </font>
    </dxf>
    <dxf>
      <font>
        <color rgb="FF9933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9933FF"/>
      </font>
    </dxf>
    <dxf>
      <font>
        <color rgb="FFFF0000"/>
      </font>
    </dxf>
    <dxf>
      <font>
        <color rgb="FFFF00FF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9933FF"/>
      </font>
    </dxf>
    <dxf>
      <font>
        <color rgb="FFFF00FF"/>
      </font>
    </dxf>
    <dxf>
      <font>
        <color rgb="FF00B050"/>
      </font>
    </dxf>
    <dxf>
      <font>
        <color rgb="FFFF0000"/>
      </font>
    </dxf>
    <dxf>
      <font>
        <color rgb="FFFF00FF"/>
      </font>
    </dxf>
    <dxf>
      <font>
        <color rgb="FF9933FF"/>
      </font>
    </dxf>
    <dxf>
      <font>
        <color rgb="FFFF0000"/>
      </font>
    </dxf>
    <dxf>
      <font>
        <color rgb="FF00B050"/>
      </font>
    </dxf>
    <dxf>
      <font>
        <color rgb="FFFF00FF"/>
      </font>
    </dxf>
    <dxf>
      <font>
        <color rgb="FF9933FF"/>
      </font>
    </dxf>
    <dxf>
      <font>
        <color rgb="FF00B050"/>
      </font>
    </dxf>
    <dxf>
      <font>
        <color rgb="FFFF0000"/>
      </font>
    </dxf>
    <dxf>
      <font>
        <color rgb="FFFF00FF"/>
      </font>
    </dxf>
    <dxf>
      <font>
        <color rgb="FF9933FF"/>
      </font>
    </dxf>
    <dxf>
      <font>
        <color rgb="FFFF00FF"/>
      </font>
    </dxf>
    <dxf>
      <font>
        <color rgb="FFFF0000"/>
      </font>
    </dxf>
    <dxf>
      <font>
        <color rgb="FF00B050"/>
      </font>
    </dxf>
    <dxf>
      <font>
        <color rgb="FF9933FF"/>
      </font>
    </dxf>
    <dxf>
      <font>
        <color rgb="FFFF0000"/>
      </font>
    </dxf>
    <dxf>
      <font>
        <color rgb="FF9933FF"/>
      </font>
    </dxf>
    <dxf>
      <font>
        <color rgb="FFFF00FF"/>
      </font>
    </dxf>
    <dxf>
      <font>
        <color rgb="FF00B050"/>
      </font>
    </dxf>
    <dxf>
      <font>
        <color rgb="FFFF00FF"/>
      </font>
    </dxf>
    <dxf>
      <font>
        <color rgb="FF9933FF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FF"/>
      </font>
    </dxf>
    <dxf>
      <font>
        <color rgb="FF9933FF"/>
      </font>
    </dxf>
    <dxf>
      <font>
        <color rgb="FFFF00FF"/>
      </font>
    </dxf>
    <dxf>
      <font>
        <color rgb="FFFF0000"/>
      </font>
    </dxf>
    <dxf>
      <font>
        <color rgb="FF00B050"/>
      </font>
    </dxf>
    <dxf>
      <font>
        <color rgb="FF9933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B050"/>
      </font>
    </dxf>
    <dxf>
      <font>
        <color rgb="FF9933FF"/>
      </font>
    </dxf>
    <dxf>
      <font>
        <color rgb="FFFF00FF"/>
      </font>
    </dxf>
    <dxf>
      <font>
        <color rgb="FFFF0000"/>
      </font>
    </dxf>
    <dxf>
      <font>
        <color rgb="FF9933FF"/>
      </font>
    </dxf>
    <dxf>
      <font>
        <color rgb="FFFF00FF"/>
      </font>
    </dxf>
    <dxf>
      <font>
        <color rgb="FF00B050"/>
      </font>
    </dxf>
    <dxf>
      <font>
        <color rgb="FFFF0000"/>
      </font>
    </dxf>
    <dxf>
      <font>
        <color rgb="FF9933FF"/>
      </font>
    </dxf>
    <dxf>
      <font>
        <color rgb="FFFF0000"/>
      </font>
    </dxf>
    <dxf>
      <font>
        <color rgb="FF00B050"/>
      </font>
    </dxf>
    <dxf>
      <font>
        <color rgb="FFFF00FF"/>
      </font>
    </dxf>
    <dxf>
      <font>
        <color rgb="FFFF00FF"/>
      </font>
    </dxf>
    <dxf>
      <font>
        <color rgb="FFFF0000"/>
      </font>
    </dxf>
    <dxf>
      <font>
        <color rgb="FF9933FF"/>
      </font>
    </dxf>
    <dxf>
      <font>
        <color rgb="FF00B050"/>
      </font>
    </dxf>
    <dxf>
      <font>
        <color rgb="FF9933FF"/>
      </font>
    </dxf>
    <dxf>
      <font>
        <color rgb="FF00B050"/>
      </font>
    </dxf>
    <dxf>
      <font>
        <color rgb="FFFF00FF"/>
      </font>
    </dxf>
    <dxf>
      <font>
        <color rgb="FFFF0000"/>
      </font>
    </dxf>
    <dxf>
      <font>
        <color rgb="FFFF00FF"/>
      </font>
    </dxf>
    <dxf>
      <font>
        <color rgb="FF9933FF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FF"/>
      </font>
    </dxf>
    <dxf>
      <font>
        <color rgb="FF9933FF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FF"/>
      </font>
    </dxf>
    <dxf>
      <font>
        <color rgb="FF9933FF"/>
      </font>
    </dxf>
    <dxf>
      <font>
        <color rgb="FFFF0000"/>
      </font>
    </dxf>
    <dxf>
      <font>
        <color rgb="FFFF00FF"/>
      </font>
    </dxf>
    <dxf>
      <font>
        <color rgb="FF9933FF"/>
      </font>
    </dxf>
    <dxf>
      <font>
        <color rgb="FF00B050"/>
      </font>
    </dxf>
    <dxf>
      <font>
        <color rgb="FFFF0000"/>
      </font>
    </dxf>
    <dxf>
      <font>
        <color rgb="FFFF00FF"/>
      </font>
    </dxf>
    <dxf>
      <font>
        <color rgb="FF00B050"/>
      </font>
    </dxf>
    <dxf>
      <font>
        <color rgb="FF9933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FF00FF"/>
      </font>
    </dxf>
    <dxf>
      <font>
        <color rgb="FF9933FF"/>
      </font>
    </dxf>
    <dxf>
      <font>
        <color rgb="FFFF0000"/>
      </font>
    </dxf>
    <dxf>
      <font>
        <color rgb="FF00B050"/>
      </font>
    </dxf>
    <dxf>
      <font>
        <color rgb="FF9933FF"/>
      </font>
    </dxf>
    <dxf>
      <font>
        <color rgb="FFFF0000"/>
      </font>
    </dxf>
    <dxf>
      <font>
        <color rgb="FF00B050"/>
      </font>
    </dxf>
    <dxf>
      <font>
        <color rgb="FFFF00FF"/>
      </font>
    </dxf>
    <dxf>
      <font>
        <color rgb="FF00B050"/>
      </font>
    </dxf>
    <dxf>
      <font>
        <color rgb="FFFF00FF"/>
      </font>
    </dxf>
    <dxf>
      <font>
        <color rgb="FF9933FF"/>
      </font>
    </dxf>
    <dxf>
      <font>
        <color rgb="FFFF0000"/>
      </font>
    </dxf>
    <dxf>
      <font>
        <color rgb="FFFF00FF"/>
      </font>
    </dxf>
    <dxf>
      <font>
        <color rgb="FF00B050"/>
      </font>
    </dxf>
    <dxf>
      <font>
        <color rgb="FF9933FF"/>
      </font>
    </dxf>
    <dxf>
      <font>
        <color rgb="FFFF0000"/>
      </font>
    </dxf>
    <dxf>
      <font>
        <color rgb="FFFF00FF"/>
      </font>
    </dxf>
    <dxf>
      <font>
        <color rgb="FF00B050"/>
      </font>
    </dxf>
    <dxf>
      <font>
        <color rgb="FFFF0000"/>
      </font>
    </dxf>
    <dxf>
      <font>
        <color rgb="FF9933FF"/>
      </font>
    </dxf>
    <dxf>
      <font>
        <color rgb="FF9933FF"/>
      </font>
    </dxf>
    <dxf>
      <font>
        <color rgb="FFFF0000"/>
      </font>
    </dxf>
    <dxf>
      <font>
        <color rgb="FF00B050"/>
      </font>
    </dxf>
    <dxf>
      <font>
        <color rgb="FFFF00FF"/>
      </font>
    </dxf>
    <dxf>
      <font>
        <color rgb="FFFF0000"/>
      </font>
    </dxf>
    <dxf>
      <font>
        <color rgb="FF9933FF"/>
      </font>
    </dxf>
    <dxf>
      <font>
        <color rgb="FFFF00FF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FF"/>
      </font>
    </dxf>
    <dxf>
      <font>
        <color rgb="FF9933FF"/>
      </font>
    </dxf>
    <dxf>
      <font>
        <color rgb="FFFF00FF"/>
      </font>
    </dxf>
    <dxf>
      <font>
        <color rgb="FFFF0000"/>
      </font>
    </dxf>
    <dxf>
      <font>
        <color rgb="FF00B050"/>
      </font>
    </dxf>
    <dxf>
      <font>
        <color rgb="FF9933FF"/>
      </font>
    </dxf>
    <dxf>
      <font>
        <color rgb="FF9933FF"/>
      </font>
    </dxf>
    <dxf>
      <font>
        <color rgb="FFFF00FF"/>
      </font>
    </dxf>
    <dxf>
      <font>
        <color rgb="FFFF0000"/>
      </font>
    </dxf>
    <dxf>
      <font>
        <color rgb="FF00B050"/>
      </font>
    </dxf>
    <dxf>
      <font>
        <color rgb="FFFF00FF"/>
      </font>
    </dxf>
    <dxf>
      <font>
        <color rgb="FF00B050"/>
      </font>
    </dxf>
    <dxf>
      <font>
        <color rgb="FFFF0000"/>
      </font>
    </dxf>
    <dxf>
      <font>
        <color rgb="FF9933FF"/>
      </font>
    </dxf>
    <dxf>
      <font>
        <color rgb="FF9933FF"/>
      </font>
    </dxf>
    <dxf>
      <font>
        <color rgb="FFFF00FF"/>
      </font>
    </dxf>
    <dxf>
      <font>
        <color rgb="FFFF0000"/>
      </font>
    </dxf>
    <dxf>
      <font>
        <color rgb="FF00B050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FF0000"/>
      </font>
    </dxf>
    <dxf>
      <font>
        <color rgb="FF00B050"/>
      </font>
    </dxf>
    <dxf>
      <font>
        <color rgb="FFFF00FF"/>
      </font>
    </dxf>
    <dxf>
      <font>
        <color rgb="FF9933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FF0000"/>
      </font>
    </dxf>
    <dxf>
      <font>
        <color rgb="FF00B050"/>
      </font>
    </dxf>
    <dxf>
      <font>
        <color rgb="FFFF00FF"/>
      </font>
    </dxf>
    <dxf>
      <font>
        <color rgb="FF9933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FF00FF"/>
      </font>
    </dxf>
    <dxf>
      <font>
        <color rgb="FFFF0000"/>
      </font>
    </dxf>
    <dxf>
      <font>
        <color rgb="FF00B050"/>
      </font>
    </dxf>
    <dxf>
      <font>
        <color rgb="FF9933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FF0000"/>
      </font>
    </dxf>
    <dxf>
      <font>
        <color rgb="FF9933FF"/>
      </font>
    </dxf>
    <dxf>
      <font>
        <color rgb="FFFF00FF"/>
      </font>
    </dxf>
    <dxf>
      <font>
        <color rgb="FF00B050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9933FF"/>
      </font>
    </dxf>
    <dxf>
      <font>
        <color rgb="FF00B050"/>
      </font>
    </dxf>
    <dxf>
      <font>
        <color rgb="FFFF0000"/>
      </font>
    </dxf>
    <dxf>
      <font>
        <color rgb="FFFF00FF"/>
      </font>
    </dxf>
    <dxf>
      <font>
        <color rgb="FF0066FF"/>
      </font>
    </dxf>
    <dxf>
      <font>
        <color rgb="FFFF0000"/>
      </font>
    </dxf>
    <dxf>
      <font>
        <color rgb="FF00B050"/>
      </font>
    </dxf>
    <dxf>
      <font>
        <color rgb="FFFF00FF"/>
      </font>
    </dxf>
    <dxf>
      <font>
        <color rgb="FF9933FF"/>
      </font>
    </dxf>
    <dxf>
      <font>
        <color rgb="FFFF00FF"/>
      </font>
    </dxf>
    <dxf>
      <font>
        <color rgb="FF9933FF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FF"/>
      </font>
    </dxf>
    <dxf>
      <font>
        <color rgb="FF9933FF"/>
      </font>
    </dxf>
    <dxf>
      <font>
        <color rgb="FFFF0000"/>
      </font>
    </dxf>
    <dxf>
      <font>
        <color rgb="FF9933FF"/>
      </font>
    </dxf>
    <dxf>
      <font>
        <color rgb="FFFF00FF"/>
      </font>
    </dxf>
    <dxf>
      <font>
        <color rgb="FF00B050"/>
      </font>
    </dxf>
    <dxf>
      <font>
        <color rgb="FF9933FF"/>
      </font>
    </dxf>
    <dxf>
      <font>
        <color rgb="FFFF00FF"/>
      </font>
    </dxf>
    <dxf>
      <font>
        <color rgb="FF00B050"/>
      </font>
    </dxf>
    <dxf>
      <font>
        <color rgb="FFFF0000"/>
      </font>
    </dxf>
    <dxf>
      <font>
        <color rgb="FFFF00FF"/>
      </font>
    </dxf>
    <dxf>
      <font>
        <color rgb="FF00B050"/>
      </font>
    </dxf>
    <dxf>
      <font>
        <color rgb="FFFF0000"/>
      </font>
    </dxf>
    <dxf>
      <font>
        <color rgb="FF9933FF"/>
      </font>
    </dxf>
    <dxf>
      <font>
        <color rgb="FF9933FF"/>
      </font>
    </dxf>
    <dxf>
      <font>
        <color rgb="FF00B050"/>
      </font>
    </dxf>
    <dxf>
      <font>
        <color rgb="FFFF0000"/>
      </font>
    </dxf>
    <dxf>
      <font>
        <color rgb="FFFF00FF"/>
      </font>
    </dxf>
    <dxf>
      <font>
        <color rgb="FFFF0000"/>
      </font>
    </dxf>
    <dxf>
      <font>
        <color rgb="FF00B050"/>
      </font>
    </dxf>
    <dxf>
      <font>
        <color rgb="FFFF00FF"/>
      </font>
    </dxf>
    <dxf>
      <font>
        <color rgb="FF9933FF"/>
      </font>
    </dxf>
    <dxf>
      <font>
        <color rgb="FF9933FF"/>
      </font>
    </dxf>
    <dxf>
      <font>
        <color rgb="FFFF00FF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9933FF"/>
      </font>
    </dxf>
    <dxf>
      <font>
        <color rgb="FFFF0000"/>
      </font>
    </dxf>
    <dxf>
      <font>
        <color rgb="FFFF00FF"/>
      </font>
    </dxf>
    <dxf>
      <font>
        <color rgb="FF9933FF"/>
      </font>
    </dxf>
    <dxf>
      <font>
        <color rgb="FFFF00FF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9933FF"/>
      </font>
    </dxf>
    <dxf>
      <font>
        <color rgb="FFFF00FF"/>
      </font>
    </dxf>
    <dxf>
      <font>
        <color rgb="FF00B050"/>
      </font>
    </dxf>
    <dxf>
      <font>
        <color rgb="FFFF0000"/>
      </font>
    </dxf>
    <dxf>
      <font>
        <color rgb="FF9933FF"/>
      </font>
    </dxf>
    <dxf>
      <font>
        <color rgb="FFFF00FF"/>
      </font>
    </dxf>
    <dxf>
      <font>
        <color rgb="FF9933FF"/>
      </font>
    </dxf>
    <dxf>
      <font>
        <color rgb="FFFF00FF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FF"/>
      </font>
    </dxf>
    <dxf>
      <font>
        <color rgb="FF9933FF"/>
      </font>
    </dxf>
    <dxf>
      <font>
        <color rgb="FF00B050"/>
      </font>
    </dxf>
    <dxf>
      <font>
        <color rgb="FF00B050"/>
      </font>
    </dxf>
    <dxf>
      <font>
        <color rgb="FFFF00FF"/>
      </font>
    </dxf>
    <dxf>
      <font>
        <color rgb="FF9933FF"/>
      </font>
    </dxf>
    <dxf>
      <font>
        <color rgb="FFFF0000"/>
      </font>
    </dxf>
    <dxf>
      <font>
        <color rgb="FFFF0000"/>
      </font>
    </dxf>
    <dxf>
      <font>
        <color rgb="FFFF00FF"/>
      </font>
    </dxf>
    <dxf>
      <font>
        <color rgb="FF00B050"/>
      </font>
    </dxf>
    <dxf>
      <font>
        <color rgb="FF9933FF"/>
      </font>
    </dxf>
    <dxf>
      <font>
        <color rgb="FF00B050"/>
      </font>
    </dxf>
    <dxf>
      <font>
        <color rgb="FF9933FF"/>
      </font>
    </dxf>
    <dxf>
      <font>
        <color rgb="FFFF00FF"/>
      </font>
    </dxf>
    <dxf>
      <font>
        <color rgb="FFFF0000"/>
      </font>
    </dxf>
    <dxf>
      <font>
        <color rgb="FF9933FF"/>
      </font>
    </dxf>
    <dxf>
      <font>
        <color rgb="FF00B050"/>
      </font>
    </dxf>
    <dxf>
      <font>
        <color rgb="FFFF0000"/>
      </font>
    </dxf>
    <dxf>
      <font>
        <color rgb="FFFF00FF"/>
      </font>
    </dxf>
    <dxf>
      <font>
        <color rgb="FFFF0000"/>
      </font>
    </dxf>
    <dxf>
      <font>
        <color rgb="FF9933FF"/>
      </font>
    </dxf>
    <dxf>
      <font>
        <color rgb="FFFF00FF"/>
      </font>
    </dxf>
    <dxf>
      <font>
        <color rgb="FF00B050"/>
      </font>
    </dxf>
    <dxf>
      <font>
        <color rgb="FF00B050"/>
      </font>
    </dxf>
    <dxf>
      <font>
        <color rgb="FFFF00FF"/>
      </font>
    </dxf>
    <dxf>
      <font>
        <color rgb="FFFF0000"/>
      </font>
    </dxf>
    <dxf>
      <font>
        <color rgb="FF9933FF"/>
      </font>
    </dxf>
    <dxf>
      <font>
        <color rgb="FFFF0000"/>
      </font>
    </dxf>
    <dxf>
      <font>
        <color rgb="FF00B050"/>
      </font>
    </dxf>
    <dxf>
      <font>
        <color rgb="FFFF00FF"/>
      </font>
    </dxf>
    <dxf>
      <font>
        <color rgb="FF9933FF"/>
      </font>
    </dxf>
    <dxf>
      <font>
        <color rgb="FF0000CC"/>
      </font>
    </dxf>
    <dxf>
      <font>
        <color rgb="FF9900FF"/>
      </font>
    </dxf>
    <dxf>
      <font>
        <color rgb="FF0000CC"/>
      </font>
    </dxf>
    <dxf>
      <font>
        <color rgb="FFFF00FF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00CC"/>
      </font>
    </dxf>
    <dxf>
      <font>
        <color rgb="FF9900FF"/>
      </font>
    </dxf>
    <dxf>
      <font>
        <color rgb="FFFF00FF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66FF"/>
      </font>
    </dxf>
    <dxf>
      <font>
        <color rgb="FF0066FF"/>
      </font>
    </dxf>
    <dxf>
      <font>
        <color rgb="FFFF0000"/>
      </font>
    </dxf>
    <dxf>
      <font>
        <color rgb="FF00B050"/>
      </font>
    </dxf>
    <dxf>
      <font>
        <color rgb="FFFF00FF"/>
      </font>
    </dxf>
    <dxf>
      <font>
        <color rgb="FF9933FF"/>
      </font>
    </dxf>
    <dxf>
      <font>
        <color rgb="FF0066FF"/>
      </font>
    </dxf>
    <dxf>
      <font>
        <color rgb="FFFF0000"/>
      </font>
    </dxf>
    <dxf>
      <font>
        <color rgb="FF00B050"/>
      </font>
    </dxf>
    <dxf>
      <font>
        <color rgb="FFFF00FF"/>
      </font>
    </dxf>
    <dxf>
      <font>
        <color rgb="FF9933FF"/>
      </font>
    </dxf>
    <dxf>
      <font>
        <color rgb="FF9900FF"/>
      </font>
    </dxf>
    <dxf>
      <font>
        <color rgb="FFFF00FF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FF"/>
      </font>
    </dxf>
    <dxf>
      <font>
        <color rgb="FF00B050"/>
      </font>
    </dxf>
    <dxf>
      <font>
        <color rgb="FF9900FF"/>
      </font>
    </dxf>
    <dxf>
      <font>
        <color rgb="FF9900FF"/>
      </font>
    </dxf>
    <dxf>
      <font>
        <color rgb="FFFF00FF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FF"/>
      </font>
    </dxf>
    <dxf>
      <font>
        <color rgb="FF9933FF"/>
      </font>
    </dxf>
    <dxf>
      <font>
        <color rgb="FF00B050"/>
      </font>
    </dxf>
    <dxf>
      <font>
        <color rgb="FFFF00FF"/>
      </font>
    </dxf>
    <dxf>
      <font>
        <color rgb="FF9933FF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9933FF"/>
      </font>
    </dxf>
    <dxf>
      <font>
        <color rgb="FFFF00FF"/>
      </font>
    </dxf>
    <dxf>
      <font>
        <color rgb="FF0000CC"/>
      </font>
    </dxf>
    <dxf>
      <font>
        <color rgb="FF0000CC"/>
      </font>
    </dxf>
    <dxf>
      <font>
        <color rgb="FF9900FF"/>
      </font>
    </dxf>
    <dxf>
      <font>
        <color rgb="FFFF00FF"/>
      </font>
    </dxf>
    <dxf>
      <font>
        <color rgb="FF00B050"/>
      </font>
    </dxf>
    <dxf>
      <font>
        <color rgb="FFFF0000"/>
      </font>
    </dxf>
    <dxf>
      <font>
        <color rgb="FF0000CC"/>
      </font>
    </dxf>
    <dxf>
      <font>
        <color rgb="FF9900FF"/>
      </font>
    </dxf>
    <dxf>
      <font>
        <color rgb="FFFF00FF"/>
      </font>
    </dxf>
    <dxf>
      <font>
        <color rgb="FF00B05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9900FF"/>
      </font>
    </dxf>
    <dxf>
      <font>
        <color rgb="FFFF00FF"/>
      </font>
    </dxf>
    <dxf>
      <font>
        <color rgb="FF00B050"/>
      </font>
    </dxf>
    <dxf>
      <font>
        <color rgb="FFFF0000"/>
      </font>
    </dxf>
    <dxf>
      <font>
        <color rgb="FF9900FF"/>
      </font>
    </dxf>
    <dxf>
      <font>
        <color rgb="FFFF00FF"/>
      </font>
    </dxf>
    <dxf>
      <font>
        <color rgb="FF00B050"/>
      </font>
    </dxf>
    <dxf>
      <font>
        <color rgb="FFFF0000"/>
      </font>
    </dxf>
    <dxf>
      <font>
        <color rgb="FF9900FF"/>
      </font>
    </dxf>
    <dxf>
      <font>
        <color rgb="FFFF00FF"/>
      </font>
    </dxf>
    <dxf>
      <font>
        <color rgb="FF00B050"/>
      </font>
    </dxf>
    <dxf>
      <font>
        <color rgb="FFFF0000"/>
      </font>
    </dxf>
    <dxf>
      <font>
        <color rgb="FF9900FF"/>
      </font>
    </dxf>
    <dxf>
      <font>
        <color rgb="FFFF00FF"/>
      </font>
    </dxf>
    <dxf>
      <font>
        <color rgb="FF00B05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9900FF"/>
      </font>
    </dxf>
    <dxf>
      <font>
        <color rgb="FFFF00FF"/>
      </font>
    </dxf>
    <dxf>
      <font>
        <color rgb="FF00B050"/>
      </font>
    </dxf>
    <dxf>
      <font>
        <color rgb="FFFF0000"/>
      </font>
    </dxf>
    <dxf>
      <font>
        <color rgb="FF9900FF"/>
      </font>
    </dxf>
    <dxf>
      <font>
        <color rgb="FFFF00FF"/>
      </font>
    </dxf>
    <dxf>
      <font>
        <color rgb="FF00B050"/>
      </font>
    </dxf>
    <dxf>
      <font>
        <color rgb="FFFF0000"/>
      </font>
    </dxf>
    <dxf>
      <font>
        <color rgb="FF0000CC"/>
      </font>
    </dxf>
    <dxf>
      <font>
        <color rgb="FF9900FF"/>
      </font>
    </dxf>
    <dxf>
      <font>
        <color rgb="FFFF00FF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mruColors>
      <color rgb="FF9900FF"/>
      <color rgb="FFCCECFF"/>
      <color rgb="FFFF00FF"/>
      <color rgb="FF0000CC"/>
      <color rgb="FF0033CC"/>
      <color rgb="FFFF66CC"/>
      <color rgb="FF0066FF"/>
      <color rgb="FFFFCCCC"/>
      <color rgb="FF3399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M54"/>
  <sheetViews>
    <sheetView topLeftCell="A3" zoomScale="115" zoomScaleNormal="115" workbookViewId="0">
      <selection activeCell="AI14" sqref="AI14"/>
    </sheetView>
  </sheetViews>
  <sheetFormatPr defaultColWidth="9" defaultRowHeight="13.5" x14ac:dyDescent="0.15"/>
  <cols>
    <col min="1" max="1" width="2.75" style="1" customWidth="1"/>
    <col min="2" max="2" width="3.25" style="12" customWidth="1"/>
    <col min="3" max="4" width="2.5" style="12" customWidth="1"/>
    <col min="5" max="5" width="4.75" style="11" customWidth="1"/>
    <col min="6" max="6" width="3.25" style="12" customWidth="1"/>
    <col min="7" max="8" width="2.5" style="12" customWidth="1"/>
    <col min="9" max="9" width="4.75" style="11" customWidth="1"/>
    <col min="10" max="10" width="3.25" style="12" customWidth="1"/>
    <col min="11" max="12" width="2.5" style="12" customWidth="1"/>
    <col min="13" max="13" width="4.75" style="11" customWidth="1"/>
    <col min="14" max="14" width="3.25" style="12" customWidth="1"/>
    <col min="15" max="16" width="2.5" style="12" customWidth="1"/>
    <col min="17" max="17" width="4.75" style="11" customWidth="1"/>
    <col min="18" max="18" width="3.25" style="12" customWidth="1"/>
    <col min="19" max="20" width="2.5" style="12" customWidth="1"/>
    <col min="21" max="21" width="4.75" style="11" customWidth="1"/>
    <col min="22" max="22" width="3.25" style="12" customWidth="1"/>
    <col min="23" max="24" width="2.5" style="12" customWidth="1"/>
    <col min="25" max="25" width="4.75" style="11" customWidth="1"/>
    <col min="26" max="26" width="3.25" style="12" customWidth="1"/>
    <col min="27" max="28" width="2.5" style="12" customWidth="1"/>
    <col min="29" max="29" width="4.75" style="11" customWidth="1"/>
    <col min="30" max="30" width="3.25" style="12" customWidth="1"/>
    <col min="31" max="32" width="2.5" style="12" customWidth="1"/>
    <col min="33" max="33" width="4.75" style="11" customWidth="1"/>
    <col min="34" max="34" width="2.75" style="1" customWidth="1"/>
    <col min="35" max="16384" width="9" style="1"/>
  </cols>
  <sheetData>
    <row r="1" spans="2:39" hidden="1" x14ac:dyDescent="0.15">
      <c r="B1" s="82">
        <f>(IF(LEFT(B8,2)="50",RIGHT(B8,LEN(B8)-2)*100000,IF(LEFT(B8,2)="40",RIGHT(B8,LEN(B8)-2)*10000,IF(LEFT(B8,2)="30",RIGHT(B8,LEN(B8)-2)*1000,IF(LEFT(B8,2)="20",RIGHT(B8,LEN(B8)-2)*100,IF(LEFT(B8,2)="10",RIGHT(B8,LEN(B8)-2)*10,""))))))*1.1</f>
        <v>28105.000000000004</v>
      </c>
      <c r="C1" s="82"/>
      <c r="D1" s="82"/>
      <c r="E1" s="82"/>
      <c r="F1" s="82">
        <f>(IF(LEFT(F8,2)="50",RIGHT(F8,LEN(F8)-2)*100000,IF(LEFT(F8,2)="40",RIGHT(F8,LEN(F8)-2)*10000,IF(LEFT(F8,2)="30",RIGHT(F8,LEN(F8)-2)*1000,IF(LEFT(F8,2)="20",RIGHT(F8,LEN(F8)-2)*100,IF(LEFT(F8,2)="10",RIGHT(F8,LEN(F8)-2)*10,""))))))*1.1</f>
        <v>45100.000000000007</v>
      </c>
      <c r="G1" s="82"/>
      <c r="H1" s="82"/>
      <c r="I1" s="82"/>
      <c r="J1" s="82">
        <f>(IF(LEFT(J8,2)="50",RIGHT(J8,LEN(J8)-2)*100000,IF(LEFT(J8,2)="40",RIGHT(J8,LEN(J8)-2)*10000,IF(LEFT(J8,2)="30",RIGHT(J8,LEN(J8)-2)*1000,IF(LEFT(J8,2)="20",RIGHT(J8,LEN(J8)-2)*100,IF(LEFT(J8,2)="10",RIGHT(J8,LEN(J8)-2)*10,""))))))*1.1</f>
        <v>11550.000000000002</v>
      </c>
      <c r="K1" s="82"/>
      <c r="L1" s="82"/>
      <c r="M1" s="82"/>
      <c r="N1" s="82">
        <f>(IF(LEFT(N8,2)="50",RIGHT(N8,LEN(N8)-2)*100000,IF(LEFT(N8,2)="40",RIGHT(N8,LEN(N8)-2)*10000,IF(LEFT(N8,2)="30",RIGHT(N8,LEN(N8)-2)*1000,IF(LEFT(N8,2)="20",RIGHT(N8,LEN(N8)-2)*100,IF(LEFT(N8,2)="10",RIGHT(N8,LEN(N8)-2)*10,""))))))*1.1</f>
        <v>11550.000000000002</v>
      </c>
      <c r="O1" s="82"/>
      <c r="P1" s="82"/>
      <c r="Q1" s="82"/>
      <c r="R1" s="82">
        <f>(IF(LEFT(R8,2)="50",RIGHT(R8,LEN(R8)-2)*100000,IF(LEFT(R8,2)="40",RIGHT(R8,LEN(R8)-2)*10000,IF(LEFT(R8,2)="30",RIGHT(R8,LEN(R8)-2)*1000,IF(LEFT(R8,2)="20",RIGHT(R8,LEN(R8)-2)*100,IF(LEFT(R8,2)="10",RIGHT(R8,LEN(R8)-2)*10,""))))))*1.1</f>
        <v>11550.000000000002</v>
      </c>
      <c r="S1" s="82"/>
      <c r="T1" s="82"/>
      <c r="U1" s="82"/>
      <c r="V1" s="82">
        <f>(IF(LEFT(V8,2)="50",RIGHT(V8,LEN(V8)-2)*100000,IF(LEFT(V8,2)="40",RIGHT(V8,LEN(V8)-2)*10000,IF(LEFT(V8,2)="30",RIGHT(V8,LEN(V8)-2)*1000,IF(LEFT(V8,2)="20",RIGHT(V8,LEN(V8)-2)*100,IF(LEFT(V8,2)="10",RIGHT(V8,LEN(V8)-2)*10,""))))))*1.1</f>
        <v>11495.000000000002</v>
      </c>
      <c r="W1" s="82"/>
      <c r="X1" s="82"/>
      <c r="Y1" s="82"/>
      <c r="Z1" s="82">
        <f>(IF(LEFT(Z8,2)="50",RIGHT(Z8,LEN(Z8)-2)*100000,IF(LEFT(Z8,2)="40",RIGHT(Z8,LEN(Z8)-2)*10000,IF(LEFT(Z8,2)="30",RIGHT(Z8,LEN(Z8)-2)*1000,IF(LEFT(Z8,2)="20",RIGHT(Z8,LEN(Z8)-2)*100,IF(LEFT(Z8,2)="10",RIGHT(Z8,LEN(Z8)-2)*10,""))))))*1.1</f>
        <v>54362.000000000007</v>
      </c>
      <c r="AA1" s="82"/>
      <c r="AB1" s="82"/>
      <c r="AC1" s="82"/>
      <c r="AD1" s="82">
        <f>(IF(LEFT(AD8,2)="50",RIGHT(AD8,LEN(AD8)-2)*100000,IF(LEFT(AD8,2)="40",RIGHT(AD8,LEN(AD8)-2)*10000,IF(LEFT(AD8,2)="30",RIGHT(AD8,LEN(AD8)-2)*1000,IF(LEFT(AD8,2)="20",RIGHT(AD8,LEN(AD8)-2)*100,IF(LEFT(AD8,2)="10",RIGHT(AD8,LEN(AD8)-2)*10,""))))))*1.1</f>
        <v>7040.0000000000009</v>
      </c>
      <c r="AE1" s="82"/>
      <c r="AF1" s="82"/>
      <c r="AG1" s="82"/>
    </row>
    <row r="2" spans="2:39" ht="14.25" hidden="1" thickBot="1" x14ac:dyDescent="0.2">
      <c r="B2" s="82">
        <f>IF(ISERROR(ROUND(B1,-1)),"",ROUND(B1,-1))</f>
        <v>28110</v>
      </c>
      <c r="C2" s="82"/>
      <c r="D2" s="82"/>
      <c r="E2" s="82"/>
      <c r="F2" s="82">
        <f>IF(ISERROR(ROUND(F1,-1)),"",ROUND(F1,-1))</f>
        <v>45100</v>
      </c>
      <c r="G2" s="82"/>
      <c r="H2" s="82"/>
      <c r="I2" s="82"/>
      <c r="J2" s="82">
        <f>IF(ISERROR(ROUND(J1,-1)),"",ROUND(J1,-1))</f>
        <v>11550</v>
      </c>
      <c r="K2" s="82"/>
      <c r="L2" s="82"/>
      <c r="M2" s="82"/>
      <c r="N2" s="82">
        <f>IF(ISERROR(ROUND(N1,-1)),"",ROUND(N1,-1))</f>
        <v>11550</v>
      </c>
      <c r="O2" s="82"/>
      <c r="P2" s="82"/>
      <c r="Q2" s="82"/>
      <c r="R2" s="82">
        <f>IF(ISERROR(ROUND(R1,-1)),"",ROUND(R1,-1))</f>
        <v>11550</v>
      </c>
      <c r="S2" s="82"/>
      <c r="T2" s="82"/>
      <c r="U2" s="82"/>
      <c r="V2" s="82">
        <f>IF(ISERROR(ROUND(V1,-1)),"",ROUND(V1,-1))</f>
        <v>11500</v>
      </c>
      <c r="W2" s="82"/>
      <c r="X2" s="82"/>
      <c r="Y2" s="82"/>
      <c r="Z2" s="82">
        <f>IF(ISERROR(ROUND(Z1,-1)),"",ROUND(Z1,-1))</f>
        <v>54360</v>
      </c>
      <c r="AA2" s="82"/>
      <c r="AB2" s="82"/>
      <c r="AC2" s="82"/>
      <c r="AD2" s="82">
        <f>IF(ISERROR(ROUND(AD1,-1)),"",ROUND(AD1,-1))</f>
        <v>7040</v>
      </c>
      <c r="AE2" s="82"/>
      <c r="AF2" s="82"/>
      <c r="AG2" s="82"/>
    </row>
    <row r="3" spans="2:39" ht="15" customHeight="1" x14ac:dyDescent="0.15">
      <c r="B3" s="86" t="s">
        <v>0</v>
      </c>
      <c r="C3" s="87"/>
      <c r="D3" s="87"/>
      <c r="E3" s="21">
        <v>0.1</v>
      </c>
      <c r="F3" s="86" t="s">
        <v>16</v>
      </c>
      <c r="G3" s="87"/>
      <c r="H3" s="87"/>
      <c r="I3" s="14">
        <v>0.3</v>
      </c>
      <c r="J3" s="87" t="s">
        <v>16</v>
      </c>
      <c r="K3" s="87"/>
      <c r="L3" s="87"/>
      <c r="M3" s="14" t="s">
        <v>38</v>
      </c>
      <c r="N3" s="87" t="s">
        <v>16</v>
      </c>
      <c r="O3" s="87"/>
      <c r="P3" s="87"/>
      <c r="Q3" s="14" t="s">
        <v>38</v>
      </c>
      <c r="R3" s="87" t="s">
        <v>16</v>
      </c>
      <c r="S3" s="87"/>
      <c r="T3" s="87"/>
      <c r="U3" s="14" t="s">
        <v>38</v>
      </c>
      <c r="V3" s="86" t="s">
        <v>16</v>
      </c>
      <c r="W3" s="87"/>
      <c r="X3" s="87"/>
      <c r="Y3" s="14">
        <v>0.3</v>
      </c>
      <c r="Z3" s="86" t="s">
        <v>16</v>
      </c>
      <c r="AA3" s="87"/>
      <c r="AB3" s="87"/>
      <c r="AC3" s="14">
        <v>0.5</v>
      </c>
      <c r="AD3" s="87" t="s">
        <v>16</v>
      </c>
      <c r="AE3" s="87"/>
      <c r="AF3" s="87"/>
      <c r="AG3" s="14">
        <v>0.2</v>
      </c>
      <c r="AJ3" s="3"/>
    </row>
    <row r="4" spans="2:39" ht="15.95" customHeight="1" x14ac:dyDescent="0.15">
      <c r="B4" s="22" t="s">
        <v>1</v>
      </c>
      <c r="C4" s="88">
        <f>D5*1.1</f>
        <v>110000.00000000001</v>
      </c>
      <c r="D4" s="88"/>
      <c r="E4" s="88"/>
      <c r="F4" s="13" t="s">
        <v>1</v>
      </c>
      <c r="G4" s="79">
        <f t="shared" ref="G4" si="0">H5*1.1</f>
        <v>121000.00000000001</v>
      </c>
      <c r="H4" s="79"/>
      <c r="I4" s="80"/>
      <c r="J4" s="13" t="s">
        <v>1</v>
      </c>
      <c r="K4" s="79">
        <f t="shared" ref="K4" si="1">L5*1.1</f>
        <v>66000</v>
      </c>
      <c r="L4" s="79"/>
      <c r="M4" s="80"/>
      <c r="N4" s="13" t="s">
        <v>1</v>
      </c>
      <c r="O4" s="79">
        <f t="shared" ref="O4" si="2">P5*1.1</f>
        <v>66000</v>
      </c>
      <c r="P4" s="79"/>
      <c r="Q4" s="80"/>
      <c r="R4" s="13" t="s">
        <v>1</v>
      </c>
      <c r="S4" s="79">
        <f t="shared" ref="S4" si="3">T5*1.1</f>
        <v>66000</v>
      </c>
      <c r="T4" s="79"/>
      <c r="U4" s="80"/>
      <c r="V4" s="13" t="s">
        <v>1</v>
      </c>
      <c r="W4" s="79">
        <f t="shared" ref="W4" si="4">X5*1.1</f>
        <v>143000</v>
      </c>
      <c r="X4" s="79"/>
      <c r="Y4" s="80"/>
      <c r="Z4" s="13" t="s">
        <v>1</v>
      </c>
      <c r="AA4" s="79">
        <f t="shared" ref="AA4" si="5">AB5*1.1</f>
        <v>418000.00000000006</v>
      </c>
      <c r="AB4" s="79"/>
      <c r="AC4" s="80"/>
      <c r="AD4" s="13" t="s">
        <v>1</v>
      </c>
      <c r="AE4" s="79">
        <f t="shared" ref="AE4" si="6">AF5*1.1</f>
        <v>77000</v>
      </c>
      <c r="AF4" s="79"/>
      <c r="AG4" s="80"/>
      <c r="AI4" s="4" t="s">
        <v>3</v>
      </c>
      <c r="AJ4" s="5"/>
    </row>
    <row r="5" spans="2:39" ht="11.45" customHeight="1" x14ac:dyDescent="0.15">
      <c r="B5" s="77" t="s">
        <v>2</v>
      </c>
      <c r="C5" s="78"/>
      <c r="D5" s="75">
        <v>100000</v>
      </c>
      <c r="E5" s="75"/>
      <c r="F5" s="77" t="s">
        <v>2</v>
      </c>
      <c r="G5" s="78"/>
      <c r="H5" s="75">
        <v>110000</v>
      </c>
      <c r="I5" s="76"/>
      <c r="J5" s="77" t="s">
        <v>2</v>
      </c>
      <c r="K5" s="78"/>
      <c r="L5" s="75">
        <v>60000</v>
      </c>
      <c r="M5" s="76"/>
      <c r="N5" s="77" t="s">
        <v>2</v>
      </c>
      <c r="O5" s="78"/>
      <c r="P5" s="75">
        <v>60000</v>
      </c>
      <c r="Q5" s="76"/>
      <c r="R5" s="77" t="s">
        <v>2</v>
      </c>
      <c r="S5" s="78"/>
      <c r="T5" s="75">
        <v>60000</v>
      </c>
      <c r="U5" s="76"/>
      <c r="V5" s="77" t="s">
        <v>2</v>
      </c>
      <c r="W5" s="78"/>
      <c r="X5" s="75">
        <v>130000</v>
      </c>
      <c r="Y5" s="76"/>
      <c r="Z5" s="77" t="s">
        <v>2</v>
      </c>
      <c r="AA5" s="78"/>
      <c r="AB5" s="75">
        <v>380000</v>
      </c>
      <c r="AC5" s="76"/>
      <c r="AD5" s="77" t="s">
        <v>2</v>
      </c>
      <c r="AE5" s="78"/>
      <c r="AF5" s="75">
        <v>70000</v>
      </c>
      <c r="AG5" s="76"/>
      <c r="AJ5" s="5"/>
    </row>
    <row r="6" spans="2:39" ht="11.25" customHeight="1" x14ac:dyDescent="0.15">
      <c r="B6" s="6"/>
      <c r="C6" s="7"/>
      <c r="D6" s="7"/>
      <c r="E6" s="18"/>
      <c r="F6" s="6"/>
      <c r="G6" s="7"/>
      <c r="H6" s="7"/>
      <c r="I6" s="8"/>
      <c r="J6" s="6"/>
      <c r="K6" s="7"/>
      <c r="L6" s="7"/>
      <c r="M6" s="8"/>
      <c r="N6" s="6"/>
      <c r="O6" s="7"/>
      <c r="P6" s="7"/>
      <c r="Q6" s="8"/>
      <c r="R6" s="6"/>
      <c r="S6" s="7"/>
      <c r="T6" s="7"/>
      <c r="U6" s="8"/>
      <c r="V6" s="6"/>
      <c r="W6" s="7"/>
      <c r="X6" s="7"/>
      <c r="Y6" s="8"/>
      <c r="Z6" s="6"/>
      <c r="AA6" s="7"/>
      <c r="AB6" s="7"/>
      <c r="AC6" s="8"/>
      <c r="AD6" s="6"/>
      <c r="AE6" s="7"/>
      <c r="AF6" s="7"/>
      <c r="AG6" s="8"/>
      <c r="AJ6" s="5"/>
    </row>
    <row r="7" spans="2:39" ht="14.25" customHeight="1" x14ac:dyDescent="0.15">
      <c r="B7" s="93" t="str">
        <f>IF(B2="","",IF(RIGHT(B2,5)="00000","50"&amp;LEFT(B2,LEN(B2)-5),IF(RIGHT(B2,4)="0000","40"&amp;LEFT(B2,LEN(B2)-4),IF(RIGHT(B2,3)="000","30"&amp;LEFT(B2,LEN(B2)-3),IF(RIGHT(B2,2)="00","20"&amp;LEFT(B2,LEN(B2)-2),IF(RIGHT(B2,1)="0","10"&amp;LEFT(B2,LEN(B2)-1),"error"))))))</f>
        <v>102811</v>
      </c>
      <c r="C7" s="94"/>
      <c r="D7" s="94"/>
      <c r="E7" s="19"/>
      <c r="F7" s="67" t="str">
        <f>IF(F2="","",IF(RIGHT(F2,5)="00000","50"&amp;LEFT(F2,LEN(F2)-5),IF(RIGHT(F2,4)="0000","40"&amp;LEFT(F2,LEN(F2)-4),IF(RIGHT(F2,3)="000","30"&amp;LEFT(F2,LEN(F2)-3),IF(RIGHT(F2,2)="00","20"&amp;LEFT(F2,LEN(F2)-2),IF(RIGHT(F2,1)="0","10"&amp;LEFT(F2,LEN(F2)-1),"error"))))))</f>
        <v>20451</v>
      </c>
      <c r="G7" s="68"/>
      <c r="H7" s="68"/>
      <c r="I7" s="9"/>
      <c r="J7" s="67" t="str">
        <f t="shared" ref="J7" si="7">IF(J2="","",IF(RIGHT(J2,5)="00000","50"&amp;LEFT(J2,LEN(J2)-5),IF(RIGHT(J2,4)="0000","40"&amp;LEFT(J2,LEN(J2)-4),IF(RIGHT(J2,3)="000","30"&amp;LEFT(J2,LEN(J2)-3),IF(RIGHT(J2,2)="00","20"&amp;LEFT(J2,LEN(J2)-2),IF(RIGHT(J2,1)="0","10"&amp;LEFT(J2,LEN(J2)-1),"error"))))))</f>
        <v>101155</v>
      </c>
      <c r="K7" s="68"/>
      <c r="L7" s="68"/>
      <c r="M7" s="9"/>
      <c r="N7" s="67" t="str">
        <f t="shared" ref="N7" si="8">IF(N2="","",IF(RIGHT(N2,5)="00000","50"&amp;LEFT(N2,LEN(N2)-5),IF(RIGHT(N2,4)="0000","40"&amp;LEFT(N2,LEN(N2)-4),IF(RIGHT(N2,3)="000","30"&amp;LEFT(N2,LEN(N2)-3),IF(RIGHT(N2,2)="00","20"&amp;LEFT(N2,LEN(N2)-2),IF(RIGHT(N2,1)="0","10"&amp;LEFT(N2,LEN(N2)-1),"error"))))))</f>
        <v>101155</v>
      </c>
      <c r="O7" s="68"/>
      <c r="P7" s="68"/>
      <c r="Q7" s="9"/>
      <c r="R7" s="67" t="str">
        <f t="shared" ref="R7" si="9">IF(R2="","",IF(RIGHT(R2,5)="00000","50"&amp;LEFT(R2,LEN(R2)-5),IF(RIGHT(R2,4)="0000","40"&amp;LEFT(R2,LEN(R2)-4),IF(RIGHT(R2,3)="000","30"&amp;LEFT(R2,LEN(R2)-3),IF(RIGHT(R2,2)="00","20"&amp;LEFT(R2,LEN(R2)-2),IF(RIGHT(R2,1)="0","10"&amp;LEFT(R2,LEN(R2)-1),"error"))))))</f>
        <v>101155</v>
      </c>
      <c r="S7" s="68"/>
      <c r="T7" s="68"/>
      <c r="U7" s="9"/>
      <c r="V7" s="67" t="str">
        <f t="shared" ref="V7" si="10">IF(V2="","",IF(RIGHT(V2,5)="00000","50"&amp;LEFT(V2,LEN(V2)-5),IF(RIGHT(V2,4)="0000","40"&amp;LEFT(V2,LEN(V2)-4),IF(RIGHT(V2,3)="000","30"&amp;LEFT(V2,LEN(V2)-3),IF(RIGHT(V2,2)="00","20"&amp;LEFT(V2,LEN(V2)-2),IF(RIGHT(V2,1)="0","10"&amp;LEFT(V2,LEN(V2)-1),"error"))))))</f>
        <v>20115</v>
      </c>
      <c r="W7" s="68"/>
      <c r="X7" s="68"/>
      <c r="Y7" s="9"/>
      <c r="Z7" s="67" t="str">
        <f t="shared" ref="Z7" si="11">IF(Z2="","",IF(RIGHT(Z2,5)="00000","50"&amp;LEFT(Z2,LEN(Z2)-5),IF(RIGHT(Z2,4)="0000","40"&amp;LEFT(Z2,LEN(Z2)-4),IF(RIGHT(Z2,3)="000","30"&amp;LEFT(Z2,LEN(Z2)-3),IF(RIGHT(Z2,2)="00","20"&amp;LEFT(Z2,LEN(Z2)-2),IF(RIGHT(Z2,1)="0","10"&amp;LEFT(Z2,LEN(Z2)-1),"error"))))))</f>
        <v>105436</v>
      </c>
      <c r="AA7" s="68"/>
      <c r="AB7" s="68"/>
      <c r="AC7" s="9"/>
      <c r="AD7" s="67" t="str">
        <f t="shared" ref="AD7" si="12">IF(AD2="","",IF(RIGHT(AD2,5)="00000","50"&amp;LEFT(AD2,LEN(AD2)-5),IF(RIGHT(AD2,4)="0000","40"&amp;LEFT(AD2,LEN(AD2)-4),IF(RIGHT(AD2,3)="000","30"&amp;LEFT(AD2,LEN(AD2)-3),IF(RIGHT(AD2,2)="00","20"&amp;LEFT(AD2,LEN(AD2)-2),IF(RIGHT(AD2,1)="0","10"&amp;LEFT(AD2,LEN(AD2)-1),"error"))))))</f>
        <v>10704</v>
      </c>
      <c r="AE7" s="68"/>
      <c r="AF7" s="68"/>
      <c r="AG7" s="9"/>
      <c r="AJ7" s="5"/>
    </row>
    <row r="8" spans="2:39" ht="14.25" customHeight="1" x14ac:dyDescent="0.15">
      <c r="B8" s="91">
        <v>102555</v>
      </c>
      <c r="C8" s="92"/>
      <c r="D8" s="92"/>
      <c r="E8" s="20" t="s">
        <v>5</v>
      </c>
      <c r="F8" s="69">
        <v>3041</v>
      </c>
      <c r="G8" s="70"/>
      <c r="H8" s="70"/>
      <c r="I8" s="10" t="s">
        <v>31</v>
      </c>
      <c r="J8" s="69">
        <v>20105</v>
      </c>
      <c r="K8" s="70"/>
      <c r="L8" s="70"/>
      <c r="M8" s="10" t="s">
        <v>37</v>
      </c>
      <c r="N8" s="69">
        <v>20105</v>
      </c>
      <c r="O8" s="70"/>
      <c r="P8" s="70"/>
      <c r="Q8" s="10" t="s">
        <v>37</v>
      </c>
      <c r="R8" s="69">
        <v>20105</v>
      </c>
      <c r="S8" s="70"/>
      <c r="T8" s="70"/>
      <c r="U8" s="10" t="s">
        <v>37</v>
      </c>
      <c r="V8" s="69">
        <v>101045</v>
      </c>
      <c r="W8" s="70"/>
      <c r="X8" s="70"/>
      <c r="Y8" s="10" t="s">
        <v>35</v>
      </c>
      <c r="Z8" s="69">
        <v>104942</v>
      </c>
      <c r="AA8" s="70"/>
      <c r="AB8" s="70"/>
      <c r="AC8" s="10" t="s">
        <v>17</v>
      </c>
      <c r="AD8" s="69">
        <v>2064</v>
      </c>
      <c r="AE8" s="70"/>
      <c r="AF8" s="70"/>
      <c r="AG8" s="10" t="s">
        <v>20</v>
      </c>
      <c r="AI8" s="16" t="s">
        <v>6</v>
      </c>
      <c r="AJ8" s="15"/>
      <c r="AK8" s="15"/>
      <c r="AL8" s="15"/>
      <c r="AM8" s="15"/>
    </row>
    <row r="9" spans="2:39" ht="24.75" customHeight="1" x14ac:dyDescent="0.15">
      <c r="B9" s="98" t="s">
        <v>4</v>
      </c>
      <c r="C9" s="99"/>
      <c r="D9" s="99"/>
      <c r="E9" s="99"/>
      <c r="F9" s="100" t="s">
        <v>39</v>
      </c>
      <c r="G9" s="101"/>
      <c r="H9" s="101"/>
      <c r="I9" s="102"/>
      <c r="J9" s="100" t="s">
        <v>36</v>
      </c>
      <c r="K9" s="101"/>
      <c r="L9" s="101"/>
      <c r="M9" s="102"/>
      <c r="N9" s="100" t="s">
        <v>36</v>
      </c>
      <c r="O9" s="101"/>
      <c r="P9" s="101"/>
      <c r="Q9" s="102"/>
      <c r="R9" s="100" t="s">
        <v>36</v>
      </c>
      <c r="S9" s="101"/>
      <c r="T9" s="101"/>
      <c r="U9" s="102"/>
      <c r="V9" s="100" t="s">
        <v>34</v>
      </c>
      <c r="W9" s="101"/>
      <c r="X9" s="101"/>
      <c r="Y9" s="102"/>
      <c r="Z9" s="100" t="s">
        <v>18</v>
      </c>
      <c r="AA9" s="101"/>
      <c r="AB9" s="101"/>
      <c r="AC9" s="102"/>
      <c r="AD9" s="100" t="s">
        <v>19</v>
      </c>
      <c r="AE9" s="101"/>
      <c r="AF9" s="101"/>
      <c r="AG9" s="102"/>
    </row>
    <row r="10" spans="2:39" ht="14.25" hidden="1" thickBot="1" x14ac:dyDescent="0.2">
      <c r="B10" s="81">
        <f>(IF(LEFT(B17,2)="50",RIGHT(B17,LEN(B17)-2)*100000,IF(LEFT(B17,2)="40",RIGHT(B17,LEN(B17)-2)*10000,IF(LEFT(B17,2)="30",RIGHT(B17,LEN(B17)-2)*1000,IF(LEFT(B17,2)="20",RIGHT(B17,LEN(B17)-2)*100,IF(LEFT(B17,2)="10",RIGHT(B17,LEN(B17)-2)*10,""))))))*1.1</f>
        <v>42240</v>
      </c>
      <c r="C10" s="82"/>
      <c r="D10" s="82"/>
      <c r="E10" s="82"/>
      <c r="F10" s="82">
        <f>(IF(LEFT(F17,2)="50",RIGHT(F17,LEN(F17)-2)*100000,IF(LEFT(F17,2)="40",RIGHT(F17,LEN(F17)-2)*10000,IF(LEFT(F17,2)="30",RIGHT(F17,LEN(F17)-2)*1000,IF(LEFT(F17,2)="20",RIGHT(F17,LEN(F17)-2)*100,IF(LEFT(F17,2)="10",RIGHT(F17,LEN(F17)-2)*10,""))))))*1.1</f>
        <v>40370</v>
      </c>
      <c r="G10" s="82"/>
      <c r="H10" s="82"/>
      <c r="I10" s="82"/>
      <c r="J10" s="82">
        <f>(IF(LEFT(J17,2)="50",RIGHT(J17,LEN(J17)-2)*100000,IF(LEFT(J17,2)="40",RIGHT(J17,LEN(J17)-2)*10000,IF(LEFT(J17,2)="30",RIGHT(J17,LEN(J17)-2)*1000,IF(LEFT(J17,2)="20",RIGHT(J17,LEN(J17)-2)*100,IF(LEFT(J17,2)="10",RIGHT(J17,LEN(J17)-2)*10,""))))))*1.1</f>
        <v>33506</v>
      </c>
      <c r="K10" s="82"/>
      <c r="L10" s="82"/>
      <c r="M10" s="82"/>
      <c r="N10" s="82">
        <f>(IF(LEFT(N17,2)="50",RIGHT(N17,LEN(N17)-2)*100000,IF(LEFT(N17,2)="40",RIGHT(N17,LEN(N17)-2)*10000,IF(LEFT(N17,2)="30",RIGHT(N17,LEN(N17)-2)*1000,IF(LEFT(N17,2)="20",RIGHT(N17,LEN(N17)-2)*100,IF(LEFT(N17,2)="10",RIGHT(N17,LEN(N17)-2)*10,""))))))*1.1</f>
        <v>35068</v>
      </c>
      <c r="O10" s="82"/>
      <c r="P10" s="82"/>
      <c r="Q10" s="82"/>
      <c r="R10" s="82">
        <f>(IF(LEFT(R17,2)="50",RIGHT(R17,LEN(R17)-2)*100000,IF(LEFT(R17,2)="40",RIGHT(R17,LEN(R17)-2)*10000,IF(LEFT(R17,2)="30",RIGHT(R17,LEN(R17)-2)*1000,IF(LEFT(R17,2)="20",RIGHT(R17,LEN(R17)-2)*100,IF(LEFT(R17,2)="10",RIGHT(R17,LEN(R17)-2)*10,""))))))*1.1</f>
        <v>9636</v>
      </c>
      <c r="S10" s="82"/>
      <c r="T10" s="82"/>
      <c r="U10" s="82"/>
      <c r="V10" s="82">
        <f>(IF(LEFT(V17,2)="50",RIGHT(V17,LEN(V17)-2)*100000,IF(LEFT(V17,2)="40",RIGHT(V17,LEN(V17)-2)*10000,IF(LEFT(V17,2)="30",RIGHT(V17,LEN(V17)-2)*1000,IF(LEFT(V17,2)="20",RIGHT(V17,LEN(V17)-2)*100,IF(LEFT(V17,2)="10",RIGHT(V17,LEN(V17)-2)*10,""))))))*1.1</f>
        <v>13827.000000000002</v>
      </c>
      <c r="W10" s="82"/>
      <c r="X10" s="82"/>
      <c r="Y10" s="82"/>
      <c r="Z10" s="82">
        <f>(IF(LEFT(Z17,2)="50",RIGHT(Z17,LEN(Z17)-2)*100000,IF(LEFT(Z17,2)="40",RIGHT(Z17,LEN(Z17)-2)*10000,IF(LEFT(Z17,2)="30",RIGHT(Z17,LEN(Z17)-2)*1000,IF(LEFT(Z17,2)="20",RIGHT(Z17,LEN(Z17)-2)*100,IF(LEFT(Z17,2)="10",RIGHT(Z17,LEN(Z17)-2)*10,""))))))*1.1</f>
        <v>18909</v>
      </c>
      <c r="AA10" s="82"/>
      <c r="AB10" s="82"/>
      <c r="AC10" s="82"/>
      <c r="AD10" s="82">
        <f>(IF(LEFT(AD17,2)="50",RIGHT(AD17,LEN(AD17)-2)*100000,IF(LEFT(AD17,2)="40",RIGHT(AD17,LEN(AD17)-2)*10000,IF(LEFT(AD17,2)="30",RIGHT(AD17,LEN(AD17)-2)*1000,IF(LEFT(AD17,2)="20",RIGHT(AD17,LEN(AD17)-2)*100,IF(LEFT(AD17,2)="10",RIGHT(AD17,LEN(AD17)-2)*10,""))))))*1.1</f>
        <v>24079.000000000004</v>
      </c>
      <c r="AE10" s="82"/>
      <c r="AF10" s="82"/>
      <c r="AG10" s="97"/>
    </row>
    <row r="11" spans="2:39" ht="14.25" hidden="1" thickBot="1" x14ac:dyDescent="0.2">
      <c r="B11" s="81">
        <f>IF(ISERROR(ROUND(B10,-1)),"",ROUND(B10,-1))</f>
        <v>42240</v>
      </c>
      <c r="C11" s="82"/>
      <c r="D11" s="82"/>
      <c r="E11" s="82"/>
      <c r="F11" s="82">
        <f>IF(ISERROR(ROUND(F10,-1)),"",ROUND(F10,-1))</f>
        <v>40370</v>
      </c>
      <c r="G11" s="82"/>
      <c r="H11" s="82"/>
      <c r="I11" s="82"/>
      <c r="J11" s="82">
        <f>IF(ISERROR(ROUND(J10,-1)),"",ROUND(J10,-1))</f>
        <v>33510</v>
      </c>
      <c r="K11" s="82"/>
      <c r="L11" s="82"/>
      <c r="M11" s="82"/>
      <c r="N11" s="82">
        <f>IF(ISERROR(ROUND(N10,-1)),"",ROUND(N10,-1))</f>
        <v>35070</v>
      </c>
      <c r="O11" s="82"/>
      <c r="P11" s="82"/>
      <c r="Q11" s="82"/>
      <c r="R11" s="82">
        <f>IF(ISERROR(ROUND(R10,-1)),"",ROUND(R10,-1))</f>
        <v>9640</v>
      </c>
      <c r="S11" s="82"/>
      <c r="T11" s="82"/>
      <c r="U11" s="82"/>
      <c r="V11" s="82">
        <f>IF(ISERROR(ROUND(V10,-1)),"",ROUND(V10,-1))</f>
        <v>13830</v>
      </c>
      <c r="W11" s="82"/>
      <c r="X11" s="82"/>
      <c r="Y11" s="82"/>
      <c r="Z11" s="82">
        <f>IF(ISERROR(ROUND(Z10,-1)),"",ROUND(Z10,-1))</f>
        <v>18910</v>
      </c>
      <c r="AA11" s="82"/>
      <c r="AB11" s="82"/>
      <c r="AC11" s="82"/>
      <c r="AD11" s="82">
        <f>IF(ISERROR(ROUND(AD10,-1)),"",ROUND(AD10,-1))</f>
        <v>24080</v>
      </c>
      <c r="AE11" s="82"/>
      <c r="AF11" s="82"/>
      <c r="AG11" s="97"/>
    </row>
    <row r="12" spans="2:39" ht="15" customHeight="1" x14ac:dyDescent="0.15">
      <c r="B12" s="86" t="s">
        <v>16</v>
      </c>
      <c r="C12" s="87"/>
      <c r="D12" s="87"/>
      <c r="E12" s="14">
        <v>160</v>
      </c>
      <c r="F12" s="86" t="s">
        <v>16</v>
      </c>
      <c r="G12" s="87"/>
      <c r="H12" s="87"/>
      <c r="I12" s="14" t="s">
        <v>23</v>
      </c>
      <c r="J12" s="86" t="s">
        <v>16</v>
      </c>
      <c r="K12" s="87"/>
      <c r="L12" s="87"/>
      <c r="M12" s="14">
        <v>0.5</v>
      </c>
      <c r="N12" s="86" t="s">
        <v>33</v>
      </c>
      <c r="O12" s="87"/>
      <c r="P12" s="87"/>
      <c r="Q12" s="14">
        <v>0.5</v>
      </c>
      <c r="R12" s="86" t="s">
        <v>30</v>
      </c>
      <c r="S12" s="87"/>
      <c r="T12" s="87"/>
      <c r="U12" s="14">
        <v>0.3</v>
      </c>
      <c r="V12" s="86" t="s">
        <v>13</v>
      </c>
      <c r="W12" s="87"/>
      <c r="X12" s="87"/>
      <c r="Y12" s="14" t="s">
        <v>8</v>
      </c>
      <c r="Z12" s="86" t="s">
        <v>13</v>
      </c>
      <c r="AA12" s="87"/>
      <c r="AB12" s="87"/>
      <c r="AC12" s="14" t="s">
        <v>14</v>
      </c>
      <c r="AD12" s="86" t="s">
        <v>13</v>
      </c>
      <c r="AE12" s="87"/>
      <c r="AF12" s="87"/>
      <c r="AG12" s="14" t="s">
        <v>15</v>
      </c>
      <c r="AJ12" s="3"/>
    </row>
    <row r="13" spans="2:39" ht="15.95" customHeight="1" x14ac:dyDescent="0.15">
      <c r="B13" s="13" t="s">
        <v>1</v>
      </c>
      <c r="C13" s="79">
        <f t="shared" ref="C13" si="13">D14*1.1</f>
        <v>319000</v>
      </c>
      <c r="D13" s="79"/>
      <c r="E13" s="80"/>
      <c r="F13" s="13" t="s">
        <v>1</v>
      </c>
      <c r="G13" s="79">
        <f t="shared" ref="G13" si="14">H14*1.1</f>
        <v>396000.00000000006</v>
      </c>
      <c r="H13" s="79"/>
      <c r="I13" s="80"/>
      <c r="J13" s="13" t="s">
        <v>1</v>
      </c>
      <c r="K13" s="79">
        <f t="shared" ref="K13" si="15">L14*1.1</f>
        <v>242000.00000000003</v>
      </c>
      <c r="L13" s="79"/>
      <c r="M13" s="80"/>
      <c r="N13" s="13" t="s">
        <v>1</v>
      </c>
      <c r="O13" s="79">
        <f t="shared" ref="O13" si="16">P14*1.1</f>
        <v>308000</v>
      </c>
      <c r="P13" s="79"/>
      <c r="Q13" s="80"/>
      <c r="R13" s="13" t="s">
        <v>1</v>
      </c>
      <c r="S13" s="79">
        <f t="shared" ref="S13" si="17">T14*1.1</f>
        <v>110000.00000000001</v>
      </c>
      <c r="T13" s="79"/>
      <c r="U13" s="80"/>
      <c r="V13" s="13" t="s">
        <v>1</v>
      </c>
      <c r="W13" s="79">
        <f t="shared" ref="W13" si="18">X14*1.1</f>
        <v>0</v>
      </c>
      <c r="X13" s="79"/>
      <c r="Y13" s="80"/>
      <c r="Z13" s="13" t="s">
        <v>1</v>
      </c>
      <c r="AA13" s="79">
        <f t="shared" ref="AA13" si="19">AB14*1.1</f>
        <v>0</v>
      </c>
      <c r="AB13" s="79"/>
      <c r="AC13" s="80"/>
      <c r="AD13" s="13" t="s">
        <v>1</v>
      </c>
      <c r="AE13" s="79">
        <f t="shared" ref="AE13" si="20">AF14*1.1</f>
        <v>0</v>
      </c>
      <c r="AF13" s="79"/>
      <c r="AG13" s="80"/>
      <c r="AJ13" s="5"/>
    </row>
    <row r="14" spans="2:39" ht="11.45" customHeight="1" x14ac:dyDescent="0.15">
      <c r="B14" s="77" t="s">
        <v>2</v>
      </c>
      <c r="C14" s="78"/>
      <c r="D14" s="75">
        <v>290000</v>
      </c>
      <c r="E14" s="76"/>
      <c r="F14" s="77" t="s">
        <v>2</v>
      </c>
      <c r="G14" s="78"/>
      <c r="H14" s="75">
        <v>360000</v>
      </c>
      <c r="I14" s="76"/>
      <c r="J14" s="77" t="s">
        <v>2</v>
      </c>
      <c r="K14" s="78"/>
      <c r="L14" s="75">
        <v>220000</v>
      </c>
      <c r="M14" s="76"/>
      <c r="N14" s="77" t="s">
        <v>2</v>
      </c>
      <c r="O14" s="78"/>
      <c r="P14" s="75">
        <v>280000</v>
      </c>
      <c r="Q14" s="76"/>
      <c r="R14" s="77" t="s">
        <v>2</v>
      </c>
      <c r="S14" s="78"/>
      <c r="T14" s="75">
        <v>100000</v>
      </c>
      <c r="U14" s="76"/>
      <c r="V14" s="77" t="s">
        <v>2</v>
      </c>
      <c r="W14" s="78"/>
      <c r="X14" s="75"/>
      <c r="Y14" s="76"/>
      <c r="Z14" s="77" t="s">
        <v>2</v>
      </c>
      <c r="AA14" s="78"/>
      <c r="AB14" s="75"/>
      <c r="AC14" s="76"/>
      <c r="AD14" s="77" t="s">
        <v>2</v>
      </c>
      <c r="AE14" s="78"/>
      <c r="AF14" s="75"/>
      <c r="AG14" s="76"/>
      <c r="AJ14" s="5"/>
    </row>
    <row r="15" spans="2:39" ht="11.25" customHeight="1" x14ac:dyDescent="0.15">
      <c r="B15" s="6"/>
      <c r="C15" s="7"/>
      <c r="D15" s="7"/>
      <c r="E15" s="8"/>
      <c r="F15" s="6"/>
      <c r="G15" s="7"/>
      <c r="H15" s="7"/>
      <c r="I15" s="8"/>
      <c r="J15" s="6"/>
      <c r="K15" s="7"/>
      <c r="L15" s="7"/>
      <c r="M15" s="8"/>
      <c r="N15" s="6"/>
      <c r="O15" s="7"/>
      <c r="P15" s="7"/>
      <c r="Q15" s="8"/>
      <c r="R15" s="6"/>
      <c r="S15" s="7"/>
      <c r="T15" s="7"/>
      <c r="U15" s="8"/>
      <c r="V15" s="6"/>
      <c r="W15" s="7"/>
      <c r="X15" s="7"/>
      <c r="Y15" s="8"/>
      <c r="Z15" s="6"/>
      <c r="AA15" s="7"/>
      <c r="AB15" s="7"/>
      <c r="AC15" s="8"/>
      <c r="AD15" s="6"/>
      <c r="AE15" s="7"/>
      <c r="AF15" s="7"/>
      <c r="AG15" s="8"/>
      <c r="AJ15" s="5"/>
    </row>
    <row r="16" spans="2:39" ht="14.25" customHeight="1" x14ac:dyDescent="0.15">
      <c r="B16" s="67" t="str">
        <f t="shared" ref="B16" si="21">IF(B11="","",IF(RIGHT(B11,5)="00000","50"&amp;LEFT(B11,LEN(B11)-5),IF(RIGHT(B11,4)="0000","40"&amp;LEFT(B11,LEN(B11)-4),IF(RIGHT(B11,3)="000","30"&amp;LEFT(B11,LEN(B11)-3),IF(RIGHT(B11,2)="00","20"&amp;LEFT(B11,LEN(B11)-2),IF(RIGHT(B11,1)="0","10"&amp;LEFT(B11,LEN(B11)-1),"error"))))))</f>
        <v>104224</v>
      </c>
      <c r="C16" s="68"/>
      <c r="D16" s="68"/>
      <c r="E16" s="9"/>
      <c r="F16" s="67" t="str">
        <f t="shared" ref="F16" si="22">IF(F11="","",IF(RIGHT(F11,5)="00000","50"&amp;LEFT(F11,LEN(F11)-5),IF(RIGHT(F11,4)="0000","40"&amp;LEFT(F11,LEN(F11)-4),IF(RIGHT(F11,3)="000","30"&amp;LEFT(F11,LEN(F11)-3),IF(RIGHT(F11,2)="00","20"&amp;LEFT(F11,LEN(F11)-2),IF(RIGHT(F11,1)="0","10"&amp;LEFT(F11,LEN(F11)-1),"error"))))))</f>
        <v>104037</v>
      </c>
      <c r="G16" s="68"/>
      <c r="H16" s="68"/>
      <c r="I16" s="9"/>
      <c r="J16" s="67" t="str">
        <f t="shared" ref="J16" si="23">IF(J11="","",IF(RIGHT(J11,5)="00000","50"&amp;LEFT(J11,LEN(J11)-5),IF(RIGHT(J11,4)="0000","40"&amp;LEFT(J11,LEN(J11)-4),IF(RIGHT(J11,3)="000","30"&amp;LEFT(J11,LEN(J11)-3),IF(RIGHT(J11,2)="00","20"&amp;LEFT(J11,LEN(J11)-2),IF(RIGHT(J11,1)="0","10"&amp;LEFT(J11,LEN(J11)-1),"error"))))))</f>
        <v>103351</v>
      </c>
      <c r="K16" s="68"/>
      <c r="L16" s="68"/>
      <c r="M16" s="17"/>
      <c r="N16" s="67" t="str">
        <f t="shared" ref="N16" si="24">IF(N11="","",IF(RIGHT(N11,5)="00000","50"&amp;LEFT(N11,LEN(N11)-5),IF(RIGHT(N11,4)="0000","40"&amp;LEFT(N11,LEN(N11)-4),IF(RIGHT(N11,3)="000","30"&amp;LEFT(N11,LEN(N11)-3),IF(RIGHT(N11,2)="00","20"&amp;LEFT(N11,LEN(N11)-2),IF(RIGHT(N11,1)="0","10"&amp;LEFT(N11,LEN(N11)-1),"error"))))))</f>
        <v>103507</v>
      </c>
      <c r="O16" s="68"/>
      <c r="P16" s="68"/>
      <c r="Q16" s="17"/>
      <c r="R16" s="67" t="str">
        <f t="shared" ref="R16" si="25">IF(R11="","",IF(RIGHT(R11,5)="00000","50"&amp;LEFT(R11,LEN(R11)-5),IF(RIGHT(R11,4)="0000","40"&amp;LEFT(R11,LEN(R11)-4),IF(RIGHT(R11,3)="000","30"&amp;LEFT(R11,LEN(R11)-3),IF(RIGHT(R11,2)="00","20"&amp;LEFT(R11,LEN(R11)-2),IF(RIGHT(R11,1)="0","10"&amp;LEFT(R11,LEN(R11)-1),"error"))))))</f>
        <v>10964</v>
      </c>
      <c r="S16" s="68"/>
      <c r="T16" s="68"/>
      <c r="U16" s="9"/>
      <c r="V16" s="67" t="str">
        <f t="shared" ref="V16" si="26">IF(V11="","",IF(RIGHT(V11,5)="00000","50"&amp;LEFT(V11,LEN(V11)-5),IF(RIGHT(V11,4)="0000","40"&amp;LEFT(V11,LEN(V11)-4),IF(RIGHT(V11,3)="000","30"&amp;LEFT(V11,LEN(V11)-3),IF(RIGHT(V11,2)="00","20"&amp;LEFT(V11,LEN(V11)-2),IF(RIGHT(V11,1)="0","10"&amp;LEFT(V11,LEN(V11)-1),"error"))))))</f>
        <v>101383</v>
      </c>
      <c r="W16" s="68"/>
      <c r="X16" s="68"/>
      <c r="Y16" s="9"/>
      <c r="Z16" s="67" t="str">
        <f t="shared" ref="Z16:AD16" si="27">IF(Z11="","",IF(RIGHT(Z11,5)="00000","50"&amp;LEFT(Z11,LEN(Z11)-5),IF(RIGHT(Z11,4)="0000","40"&amp;LEFT(Z11,LEN(Z11)-4),IF(RIGHT(Z11,3)="000","30"&amp;LEFT(Z11,LEN(Z11)-3),IF(RIGHT(Z11,2)="00","20"&amp;LEFT(Z11,LEN(Z11)-2),IF(RIGHT(Z11,1)="0","10"&amp;LEFT(Z11,LEN(Z11)-1),"error"))))))</f>
        <v>101891</v>
      </c>
      <c r="AA16" s="68"/>
      <c r="AB16" s="68"/>
      <c r="AC16" s="9"/>
      <c r="AD16" s="67" t="str">
        <f t="shared" si="27"/>
        <v>102408</v>
      </c>
      <c r="AE16" s="68"/>
      <c r="AF16" s="68"/>
      <c r="AG16" s="9"/>
      <c r="AJ16" s="5"/>
    </row>
    <row r="17" spans="2:37" ht="14.25" customHeight="1" x14ac:dyDescent="0.15">
      <c r="B17" s="69">
        <v>20384</v>
      </c>
      <c r="C17" s="70"/>
      <c r="D17" s="70"/>
      <c r="E17" s="10" t="s">
        <v>22</v>
      </c>
      <c r="F17" s="69">
        <v>20367</v>
      </c>
      <c r="G17" s="70"/>
      <c r="H17" s="70"/>
      <c r="I17" s="10" t="s">
        <v>29</v>
      </c>
      <c r="J17" s="69">
        <v>103046</v>
      </c>
      <c r="K17" s="70"/>
      <c r="L17" s="70"/>
      <c r="M17" s="10" t="s">
        <v>25</v>
      </c>
      <c r="N17" s="69">
        <v>103188</v>
      </c>
      <c r="O17" s="70"/>
      <c r="P17" s="70"/>
      <c r="Q17" s="10" t="s">
        <v>28</v>
      </c>
      <c r="R17" s="69">
        <v>10876</v>
      </c>
      <c r="S17" s="70"/>
      <c r="T17" s="70"/>
      <c r="U17" s="10" t="s">
        <v>31</v>
      </c>
      <c r="V17" s="69">
        <v>101257</v>
      </c>
      <c r="W17" s="70"/>
      <c r="X17" s="70"/>
      <c r="Y17" s="10"/>
      <c r="Z17" s="69">
        <v>101719</v>
      </c>
      <c r="AA17" s="70"/>
      <c r="AB17" s="70"/>
      <c r="AC17" s="10"/>
      <c r="AD17" s="69">
        <v>102189</v>
      </c>
      <c r="AE17" s="70"/>
      <c r="AF17" s="70"/>
      <c r="AG17" s="10"/>
      <c r="AI17" s="2"/>
    </row>
    <row r="18" spans="2:37" ht="24.75" customHeight="1" x14ac:dyDescent="0.15">
      <c r="B18" s="100" t="s">
        <v>21</v>
      </c>
      <c r="C18" s="101"/>
      <c r="D18" s="101"/>
      <c r="E18" s="102"/>
      <c r="F18" s="100" t="s">
        <v>24</v>
      </c>
      <c r="G18" s="101"/>
      <c r="H18" s="101"/>
      <c r="I18" s="102"/>
      <c r="J18" s="100" t="s">
        <v>26</v>
      </c>
      <c r="K18" s="101"/>
      <c r="L18" s="101"/>
      <c r="M18" s="102"/>
      <c r="N18" s="100" t="s">
        <v>27</v>
      </c>
      <c r="O18" s="101"/>
      <c r="P18" s="101"/>
      <c r="Q18" s="102"/>
      <c r="R18" s="100" t="s">
        <v>32</v>
      </c>
      <c r="S18" s="101"/>
      <c r="T18" s="101"/>
      <c r="U18" s="102"/>
      <c r="V18" s="83"/>
      <c r="W18" s="84"/>
      <c r="X18" s="84"/>
      <c r="Y18" s="85"/>
      <c r="Z18" s="83"/>
      <c r="AA18" s="84"/>
      <c r="AB18" s="84"/>
      <c r="AC18" s="85"/>
      <c r="AD18" s="83"/>
      <c r="AE18" s="84"/>
      <c r="AF18" s="84"/>
      <c r="AG18" s="85"/>
      <c r="AI18" s="4"/>
    </row>
    <row r="19" spans="2:37" ht="14.25" hidden="1" thickBot="1" x14ac:dyDescent="0.2">
      <c r="B19" s="81">
        <f>(IF(LEFT(B26,2)="50",RIGHT(B26,LEN(B26)-2)*100000,IF(LEFT(B26,2)="40",RIGHT(B26,LEN(B26)-2)*10000,IF(LEFT(B26,2)="30",RIGHT(B26,LEN(B26)-2)*1000,IF(LEFT(B26,2)="20",RIGHT(B26,LEN(B26)-2)*100,IF(LEFT(B26,2)="10",RIGHT(B26,LEN(B26)-2)*10,""))))))*1.1</f>
        <v>17776</v>
      </c>
      <c r="C19" s="82"/>
      <c r="D19" s="82"/>
      <c r="E19" s="82"/>
      <c r="F19" s="82">
        <f>(IF(LEFT(F26,2)="50",RIGHT(F26,LEN(F26)-2)*100000,IF(LEFT(F26,2)="40",RIGHT(F26,LEN(F26)-2)*10000,IF(LEFT(F26,2)="30",RIGHT(F26,LEN(F26)-2)*1000,IF(LEFT(F26,2)="20",RIGHT(F26,LEN(F26)-2)*100,IF(LEFT(F26,2)="10",RIGHT(F26,LEN(F26)-2)*10,""))))))*1.1</f>
        <v>17776</v>
      </c>
      <c r="G19" s="82"/>
      <c r="H19" s="82"/>
      <c r="I19" s="82"/>
      <c r="J19" s="82">
        <f>(IF(LEFT(J26,2)="50",RIGHT(J26,LEN(J26)-2)*100000,IF(LEFT(J26,2)="40",RIGHT(J26,LEN(J26)-2)*10000,IF(LEFT(J26,2)="30",RIGHT(J26,LEN(J26)-2)*1000,IF(LEFT(J26,2)="20",RIGHT(J26,LEN(J26)-2)*100,IF(LEFT(J26,2)="10",RIGHT(J26,LEN(J26)-2)*10,""))))))*1.1</f>
        <v>17776</v>
      </c>
      <c r="K19" s="82"/>
      <c r="L19" s="82"/>
      <c r="M19" s="82"/>
      <c r="N19" s="82">
        <f>(IF(LEFT(N26,2)="50",RIGHT(N26,LEN(N26)-2)*100000,IF(LEFT(N26,2)="40",RIGHT(N26,LEN(N26)-2)*10000,IF(LEFT(N26,2)="30",RIGHT(N26,LEN(N26)-2)*1000,IF(LEFT(N26,2)="20",RIGHT(N26,LEN(N26)-2)*100,IF(LEFT(N26,2)="10",RIGHT(N26,LEN(N26)-2)*10,""))))))*1.1</f>
        <v>25080.000000000004</v>
      </c>
      <c r="O19" s="82"/>
      <c r="P19" s="82"/>
      <c r="Q19" s="82"/>
      <c r="R19" s="82">
        <f>(IF(LEFT(R26,2)="50",RIGHT(R26,LEN(R26)-2)*100000,IF(LEFT(R26,2)="40",RIGHT(R26,LEN(R26)-2)*10000,IF(LEFT(R26,2)="30",RIGHT(R26,LEN(R26)-2)*1000,IF(LEFT(R26,2)="20",RIGHT(R26,LEN(R26)-2)*100,IF(LEFT(R26,2)="10",RIGHT(R26,LEN(R26)-2)*10,""))))))*1.1</f>
        <v>25080.000000000004</v>
      </c>
      <c r="S19" s="82"/>
      <c r="T19" s="82"/>
      <c r="U19" s="82"/>
      <c r="V19" s="82">
        <f>(IF(LEFT(V26,2)="50",RIGHT(V26,LEN(V26)-2)*100000,IF(LEFT(V26,2)="40",RIGHT(V26,LEN(V26)-2)*10000,IF(LEFT(V26,2)="30",RIGHT(V26,LEN(V26)-2)*1000,IF(LEFT(V26,2)="20",RIGHT(V26,LEN(V26)-2)*100,IF(LEFT(V26,2)="10",RIGHT(V26,LEN(V26)-2)*10,""))))))*1.1</f>
        <v>25080.000000000004</v>
      </c>
      <c r="W19" s="82"/>
      <c r="X19" s="82"/>
      <c r="Y19" s="82"/>
      <c r="Z19" s="82">
        <f>(IF(LEFT(Z26,2)="50",RIGHT(Z26,LEN(Z26)-2)*100000,IF(LEFT(Z26,2)="40",RIGHT(Z26,LEN(Z26)-2)*10000,IF(LEFT(Z26,2)="30",RIGHT(Z26,LEN(Z26)-2)*1000,IF(LEFT(Z26,2)="20",RIGHT(Z26,LEN(Z26)-2)*100,IF(LEFT(Z26,2)="10",RIGHT(Z26,LEN(Z26)-2)*10,""))))))*1.1</f>
        <v>25080.000000000004</v>
      </c>
      <c r="AA19" s="82"/>
      <c r="AB19" s="82"/>
      <c r="AC19" s="82"/>
      <c r="AD19" s="82">
        <f>(IF(LEFT(AD26,2)="50",RIGHT(AD26,LEN(AD26)-2)*100000,IF(LEFT(AD26,2)="40",RIGHT(AD26,LEN(AD26)-2)*10000,IF(LEFT(AD26,2)="30",RIGHT(AD26,LEN(AD26)-2)*1000,IF(LEFT(AD26,2)="20",RIGHT(AD26,LEN(AD26)-2)*100,IF(LEFT(AD26,2)="10",RIGHT(AD26,LEN(AD26)-2)*10,""))))))*1.1</f>
        <v>25080.000000000004</v>
      </c>
      <c r="AE19" s="82"/>
      <c r="AF19" s="82"/>
      <c r="AG19" s="97"/>
    </row>
    <row r="20" spans="2:37" ht="14.25" hidden="1" thickBot="1" x14ac:dyDescent="0.2">
      <c r="B20" s="81">
        <f>IF(ISERROR(ROUND(B19,-1)),"",ROUND(B19,-1))</f>
        <v>17780</v>
      </c>
      <c r="C20" s="82"/>
      <c r="D20" s="82"/>
      <c r="E20" s="82"/>
      <c r="F20" s="82">
        <f>IF(ISERROR(ROUND(F19,-1)),"",ROUND(F19,-1))</f>
        <v>17780</v>
      </c>
      <c r="G20" s="82"/>
      <c r="H20" s="82"/>
      <c r="I20" s="82"/>
      <c r="J20" s="82">
        <f>IF(ISERROR(ROUND(J19,-1)),"",ROUND(J19,-1))</f>
        <v>17780</v>
      </c>
      <c r="K20" s="82"/>
      <c r="L20" s="82"/>
      <c r="M20" s="82"/>
      <c r="N20" s="82">
        <f>IF(ISERROR(ROUND(N19,-1)),"",ROUND(N19,-1))</f>
        <v>25080</v>
      </c>
      <c r="O20" s="82"/>
      <c r="P20" s="82"/>
      <c r="Q20" s="82"/>
      <c r="R20" s="82">
        <f>IF(ISERROR(ROUND(R19,-1)),"",ROUND(R19,-1))</f>
        <v>25080</v>
      </c>
      <c r="S20" s="82"/>
      <c r="T20" s="82"/>
      <c r="U20" s="82"/>
      <c r="V20" s="82">
        <f>IF(ISERROR(ROUND(V19,-1)),"",ROUND(V19,-1))</f>
        <v>25080</v>
      </c>
      <c r="W20" s="82"/>
      <c r="X20" s="82"/>
      <c r="Y20" s="82"/>
      <c r="Z20" s="82">
        <f>IF(ISERROR(ROUND(Z19,-1)),"",ROUND(Z19,-1))</f>
        <v>25080</v>
      </c>
      <c r="AA20" s="82"/>
      <c r="AB20" s="82"/>
      <c r="AC20" s="82"/>
      <c r="AD20" s="82">
        <f>IF(ISERROR(ROUND(AD19,-1)),"",ROUND(AD19,-1))</f>
        <v>25080</v>
      </c>
      <c r="AE20" s="82"/>
      <c r="AF20" s="82"/>
      <c r="AG20" s="97"/>
    </row>
    <row r="21" spans="2:37" ht="15" customHeight="1" x14ac:dyDescent="0.15">
      <c r="B21" s="86" t="s">
        <v>7</v>
      </c>
      <c r="C21" s="87"/>
      <c r="D21" s="87"/>
      <c r="E21" s="14" t="s">
        <v>9</v>
      </c>
      <c r="F21" s="86" t="s">
        <v>7</v>
      </c>
      <c r="G21" s="87"/>
      <c r="H21" s="87"/>
      <c r="I21" s="14" t="s">
        <v>9</v>
      </c>
      <c r="J21" s="86" t="s">
        <v>7</v>
      </c>
      <c r="K21" s="87"/>
      <c r="L21" s="87"/>
      <c r="M21" s="14" t="s">
        <v>9</v>
      </c>
      <c r="N21" s="86" t="s">
        <v>7</v>
      </c>
      <c r="O21" s="87"/>
      <c r="P21" s="87"/>
      <c r="Q21" s="14" t="s">
        <v>11</v>
      </c>
      <c r="R21" s="86" t="s">
        <v>7</v>
      </c>
      <c r="S21" s="87"/>
      <c r="T21" s="87"/>
      <c r="U21" s="14" t="s">
        <v>11</v>
      </c>
      <c r="V21" s="86" t="s">
        <v>7</v>
      </c>
      <c r="W21" s="87"/>
      <c r="X21" s="87"/>
      <c r="Y21" s="14" t="s">
        <v>11</v>
      </c>
      <c r="Z21" s="86" t="s">
        <v>7</v>
      </c>
      <c r="AA21" s="87"/>
      <c r="AB21" s="87"/>
      <c r="AC21" s="14" t="s">
        <v>11</v>
      </c>
      <c r="AD21" s="86" t="s">
        <v>7</v>
      </c>
      <c r="AE21" s="87"/>
      <c r="AF21" s="87"/>
      <c r="AG21" s="14" t="s">
        <v>11</v>
      </c>
      <c r="AJ21" s="3"/>
    </row>
    <row r="22" spans="2:37" ht="15.95" customHeight="1" x14ac:dyDescent="0.15">
      <c r="B22" s="13" t="s">
        <v>1</v>
      </c>
      <c r="C22" s="79">
        <f t="shared" ref="C22" si="28">D23*1.1</f>
        <v>74800</v>
      </c>
      <c r="D22" s="79"/>
      <c r="E22" s="80"/>
      <c r="F22" s="13" t="s">
        <v>1</v>
      </c>
      <c r="G22" s="79">
        <f t="shared" ref="G22" si="29">H23*1.1</f>
        <v>74800</v>
      </c>
      <c r="H22" s="79"/>
      <c r="I22" s="80"/>
      <c r="J22" s="13" t="s">
        <v>1</v>
      </c>
      <c r="K22" s="79">
        <f t="shared" ref="K22" si="30">L23*1.1</f>
        <v>74800</v>
      </c>
      <c r="L22" s="79"/>
      <c r="M22" s="80"/>
      <c r="N22" s="13" t="s">
        <v>1</v>
      </c>
      <c r="O22" s="79">
        <f t="shared" ref="O22" si="31">P23*1.1</f>
        <v>104500.00000000001</v>
      </c>
      <c r="P22" s="79"/>
      <c r="Q22" s="80"/>
      <c r="R22" s="13" t="s">
        <v>1</v>
      </c>
      <c r="S22" s="79">
        <f t="shared" ref="S22" si="32">T23*1.1</f>
        <v>104500.00000000001</v>
      </c>
      <c r="T22" s="79"/>
      <c r="U22" s="80"/>
      <c r="V22" s="13" t="s">
        <v>1</v>
      </c>
      <c r="W22" s="79">
        <f t="shared" ref="W22" si="33">X23*1.1</f>
        <v>104500.00000000001</v>
      </c>
      <c r="X22" s="79"/>
      <c r="Y22" s="80"/>
      <c r="Z22" s="13" t="s">
        <v>1</v>
      </c>
      <c r="AA22" s="79">
        <f t="shared" ref="AA22" si="34">AB23*1.1</f>
        <v>104500.00000000001</v>
      </c>
      <c r="AB22" s="79"/>
      <c r="AC22" s="80"/>
      <c r="AD22" s="13" t="s">
        <v>1</v>
      </c>
      <c r="AE22" s="79">
        <f t="shared" ref="AE22" si="35">AF23*1.1</f>
        <v>104500.00000000001</v>
      </c>
      <c r="AF22" s="79"/>
      <c r="AG22" s="80"/>
      <c r="AJ22" s="5"/>
    </row>
    <row r="23" spans="2:37" ht="11.45" customHeight="1" x14ac:dyDescent="0.15">
      <c r="B23" s="77" t="s">
        <v>2</v>
      </c>
      <c r="C23" s="78"/>
      <c r="D23" s="75">
        <v>68000</v>
      </c>
      <c r="E23" s="76"/>
      <c r="F23" s="77" t="s">
        <v>2</v>
      </c>
      <c r="G23" s="78"/>
      <c r="H23" s="75">
        <v>68000</v>
      </c>
      <c r="I23" s="76"/>
      <c r="J23" s="77" t="s">
        <v>2</v>
      </c>
      <c r="K23" s="78"/>
      <c r="L23" s="75">
        <v>68000</v>
      </c>
      <c r="M23" s="76"/>
      <c r="N23" s="77" t="s">
        <v>2</v>
      </c>
      <c r="O23" s="78"/>
      <c r="P23" s="75">
        <v>95000</v>
      </c>
      <c r="Q23" s="76"/>
      <c r="R23" s="77" t="s">
        <v>2</v>
      </c>
      <c r="S23" s="78"/>
      <c r="T23" s="75">
        <v>95000</v>
      </c>
      <c r="U23" s="76"/>
      <c r="V23" s="77" t="s">
        <v>2</v>
      </c>
      <c r="W23" s="78"/>
      <c r="X23" s="75">
        <v>95000</v>
      </c>
      <c r="Y23" s="76"/>
      <c r="Z23" s="77" t="s">
        <v>2</v>
      </c>
      <c r="AA23" s="78"/>
      <c r="AB23" s="75">
        <v>95000</v>
      </c>
      <c r="AC23" s="76"/>
      <c r="AD23" s="77" t="s">
        <v>2</v>
      </c>
      <c r="AE23" s="78"/>
      <c r="AF23" s="75">
        <v>95000</v>
      </c>
      <c r="AG23" s="76"/>
      <c r="AJ23" s="5"/>
    </row>
    <row r="24" spans="2:37" ht="11.25" customHeight="1" x14ac:dyDescent="0.15">
      <c r="B24" s="6"/>
      <c r="C24" s="7"/>
      <c r="D24" s="7"/>
      <c r="E24" s="8"/>
      <c r="F24" s="6"/>
      <c r="G24" s="7"/>
      <c r="H24" s="7"/>
      <c r="I24" s="8"/>
      <c r="J24" s="6"/>
      <c r="K24" s="7"/>
      <c r="L24" s="7"/>
      <c r="M24" s="8"/>
      <c r="N24" s="6"/>
      <c r="O24" s="7"/>
      <c r="P24" s="7"/>
      <c r="Q24" s="8"/>
      <c r="R24" s="6"/>
      <c r="S24" s="7"/>
      <c r="T24" s="7"/>
      <c r="U24" s="8"/>
      <c r="V24" s="6"/>
      <c r="W24" s="7"/>
      <c r="X24" s="7"/>
      <c r="Y24" s="8"/>
      <c r="Z24" s="6"/>
      <c r="AA24" s="7"/>
      <c r="AB24" s="7"/>
      <c r="AC24" s="8"/>
      <c r="AD24" s="6"/>
      <c r="AE24" s="7"/>
      <c r="AF24" s="7"/>
      <c r="AG24" s="8"/>
      <c r="AJ24" s="5"/>
    </row>
    <row r="25" spans="2:37" ht="14.25" customHeight="1" x14ac:dyDescent="0.15">
      <c r="B25" s="67" t="str">
        <f t="shared" ref="B25" si="36">IF(B20="","",IF(RIGHT(B20,5)="00000","50"&amp;LEFT(B20,LEN(B20)-5),IF(RIGHT(B20,4)="0000","40"&amp;LEFT(B20,LEN(B20)-4),IF(RIGHT(B20,3)="000","30"&amp;LEFT(B20,LEN(B20)-3),IF(RIGHT(B20,2)="00","20"&amp;LEFT(B20,LEN(B20)-2),IF(RIGHT(B20,1)="0","10"&amp;LEFT(B20,LEN(B20)-1),"error"))))))</f>
        <v>101778</v>
      </c>
      <c r="C25" s="68"/>
      <c r="D25" s="68"/>
      <c r="E25" s="9"/>
      <c r="F25" s="67" t="str">
        <f t="shared" ref="F25" si="37">IF(F20="","",IF(RIGHT(F20,5)="00000","50"&amp;LEFT(F20,LEN(F20)-5),IF(RIGHT(F20,4)="0000","40"&amp;LEFT(F20,LEN(F20)-4),IF(RIGHT(F20,3)="000","30"&amp;LEFT(F20,LEN(F20)-3),IF(RIGHT(F20,2)="00","20"&amp;LEFT(F20,LEN(F20)-2),IF(RIGHT(F20,1)="0","10"&amp;LEFT(F20,LEN(F20)-1),"error"))))))</f>
        <v>101778</v>
      </c>
      <c r="G25" s="68"/>
      <c r="H25" s="68"/>
      <c r="I25" s="9"/>
      <c r="J25" s="67" t="str">
        <f t="shared" ref="J25" si="38">IF(J20="","",IF(RIGHT(J20,5)="00000","50"&amp;LEFT(J20,LEN(J20)-5),IF(RIGHT(J20,4)="0000","40"&amp;LEFT(J20,LEN(J20)-4),IF(RIGHT(J20,3)="000","30"&amp;LEFT(J20,LEN(J20)-3),IF(RIGHT(J20,2)="00","20"&amp;LEFT(J20,LEN(J20)-2),IF(RIGHT(J20,1)="0","10"&amp;LEFT(J20,LEN(J20)-1),"error"))))))</f>
        <v>101778</v>
      </c>
      <c r="K25" s="68"/>
      <c r="L25" s="68"/>
      <c r="M25" s="9"/>
      <c r="N25" s="67" t="str">
        <f t="shared" ref="N25" si="39">IF(N20="","",IF(RIGHT(N20,5)="00000","50"&amp;LEFT(N20,LEN(N20)-5),IF(RIGHT(N20,4)="0000","40"&amp;LEFT(N20,LEN(N20)-4),IF(RIGHT(N20,3)="000","30"&amp;LEFT(N20,LEN(N20)-3),IF(RIGHT(N20,2)="00","20"&amp;LEFT(N20,LEN(N20)-2),IF(RIGHT(N20,1)="0","10"&amp;LEFT(N20,LEN(N20)-1),"error"))))))</f>
        <v>102508</v>
      </c>
      <c r="O25" s="68"/>
      <c r="P25" s="68"/>
      <c r="Q25" s="9"/>
      <c r="R25" s="67" t="str">
        <f t="shared" ref="R25" si="40">IF(R20="","",IF(RIGHT(R20,5)="00000","50"&amp;LEFT(R20,LEN(R20)-5),IF(RIGHT(R20,4)="0000","40"&amp;LEFT(R20,LEN(R20)-4),IF(RIGHT(R20,3)="000","30"&amp;LEFT(R20,LEN(R20)-3),IF(RIGHT(R20,2)="00","20"&amp;LEFT(R20,LEN(R20)-2),IF(RIGHT(R20,1)="0","10"&amp;LEFT(R20,LEN(R20)-1),"error"))))))</f>
        <v>102508</v>
      </c>
      <c r="S25" s="68"/>
      <c r="T25" s="68"/>
      <c r="U25" s="9"/>
      <c r="V25" s="67" t="str">
        <f t="shared" ref="V25" si="41">IF(V20="","",IF(RIGHT(V20,5)="00000","50"&amp;LEFT(V20,LEN(V20)-5),IF(RIGHT(V20,4)="0000","40"&amp;LEFT(V20,LEN(V20)-4),IF(RIGHT(V20,3)="000","30"&amp;LEFT(V20,LEN(V20)-3),IF(RIGHT(V20,2)="00","20"&amp;LEFT(V20,LEN(V20)-2),IF(RIGHT(V20,1)="0","10"&amp;LEFT(V20,LEN(V20)-1),"error"))))))</f>
        <v>102508</v>
      </c>
      <c r="W25" s="68"/>
      <c r="X25" s="68"/>
      <c r="Y25" s="9"/>
      <c r="Z25" s="67" t="str">
        <f t="shared" ref="Z25" si="42">IF(Z20="","",IF(RIGHT(Z20,5)="00000","50"&amp;LEFT(Z20,LEN(Z20)-5),IF(RIGHT(Z20,4)="0000","40"&amp;LEFT(Z20,LEN(Z20)-4),IF(RIGHT(Z20,3)="000","30"&amp;LEFT(Z20,LEN(Z20)-3),IF(RIGHT(Z20,2)="00","20"&amp;LEFT(Z20,LEN(Z20)-2),IF(RIGHT(Z20,1)="0","10"&amp;LEFT(Z20,LEN(Z20)-1),"error"))))))</f>
        <v>102508</v>
      </c>
      <c r="AA25" s="68"/>
      <c r="AB25" s="68"/>
      <c r="AC25" s="9"/>
      <c r="AD25" s="67" t="str">
        <f t="shared" ref="AD25" si="43">IF(AD20="","",IF(RIGHT(AD20,5)="00000","50"&amp;LEFT(AD20,LEN(AD20)-5),IF(RIGHT(AD20,4)="0000","40"&amp;LEFT(AD20,LEN(AD20)-4),IF(RIGHT(AD20,3)="000","30"&amp;LEFT(AD20,LEN(AD20)-3),IF(RIGHT(AD20,2)="00","20"&amp;LEFT(AD20,LEN(AD20)-2),IF(RIGHT(AD20,1)="0","10"&amp;LEFT(AD20,LEN(AD20)-1),"error"))))))</f>
        <v>102508</v>
      </c>
      <c r="AE25" s="68"/>
      <c r="AF25" s="68"/>
      <c r="AG25" s="9"/>
      <c r="AJ25" s="5"/>
      <c r="AK25" s="5"/>
    </row>
    <row r="26" spans="2:37" ht="14.25" customHeight="1" x14ac:dyDescent="0.15">
      <c r="B26" s="69">
        <v>101616</v>
      </c>
      <c r="C26" s="70"/>
      <c r="D26" s="70"/>
      <c r="E26" s="10"/>
      <c r="F26" s="69">
        <v>101616</v>
      </c>
      <c r="G26" s="70"/>
      <c r="H26" s="70"/>
      <c r="I26" s="10"/>
      <c r="J26" s="69">
        <v>101616</v>
      </c>
      <c r="K26" s="70"/>
      <c r="L26" s="70"/>
      <c r="M26" s="10"/>
      <c r="N26" s="69">
        <v>20228</v>
      </c>
      <c r="O26" s="70"/>
      <c r="P26" s="70"/>
      <c r="Q26" s="10"/>
      <c r="R26" s="69">
        <v>20228</v>
      </c>
      <c r="S26" s="70"/>
      <c r="T26" s="70"/>
      <c r="U26" s="10"/>
      <c r="V26" s="69">
        <v>20228</v>
      </c>
      <c r="W26" s="70"/>
      <c r="X26" s="70"/>
      <c r="Y26" s="10"/>
      <c r="Z26" s="69">
        <v>20228</v>
      </c>
      <c r="AA26" s="70"/>
      <c r="AB26" s="70"/>
      <c r="AC26" s="10"/>
      <c r="AD26" s="69">
        <v>20228</v>
      </c>
      <c r="AE26" s="70"/>
      <c r="AF26" s="70"/>
      <c r="AG26" s="10"/>
      <c r="AI26" s="2"/>
    </row>
    <row r="27" spans="2:37" ht="24.75" customHeight="1" x14ac:dyDescent="0.15">
      <c r="B27" s="83" t="s">
        <v>10</v>
      </c>
      <c r="C27" s="84"/>
      <c r="D27" s="84"/>
      <c r="E27" s="85"/>
      <c r="F27" s="83" t="s">
        <v>10</v>
      </c>
      <c r="G27" s="84"/>
      <c r="H27" s="84"/>
      <c r="I27" s="85"/>
      <c r="J27" s="83" t="s">
        <v>10</v>
      </c>
      <c r="K27" s="84"/>
      <c r="L27" s="84"/>
      <c r="M27" s="85"/>
      <c r="N27" s="83" t="s">
        <v>12</v>
      </c>
      <c r="O27" s="84"/>
      <c r="P27" s="84"/>
      <c r="Q27" s="85"/>
      <c r="R27" s="83" t="s">
        <v>12</v>
      </c>
      <c r="S27" s="84"/>
      <c r="T27" s="84"/>
      <c r="U27" s="85"/>
      <c r="V27" s="83" t="s">
        <v>12</v>
      </c>
      <c r="W27" s="84"/>
      <c r="X27" s="84"/>
      <c r="Y27" s="85"/>
      <c r="Z27" s="83" t="s">
        <v>12</v>
      </c>
      <c r="AA27" s="84"/>
      <c r="AB27" s="84"/>
      <c r="AC27" s="85"/>
      <c r="AD27" s="83" t="s">
        <v>12</v>
      </c>
      <c r="AE27" s="84"/>
      <c r="AF27" s="84"/>
      <c r="AG27" s="85"/>
      <c r="AI27" s="4"/>
    </row>
    <row r="28" spans="2:37" ht="13.5" hidden="1" customHeight="1" x14ac:dyDescent="0.15">
      <c r="B28" s="73">
        <f>(IF(LEFT(B35,2)="50",RIGHT(B35,LEN(B35)-2)*100000,IF(LEFT(B35,2)="40",RIGHT(B35,LEN(B35)-2)*10000,IF(LEFT(B35,2)="30",RIGHT(B35,LEN(B35)-2)*1000,IF(LEFT(B35,2)="20",RIGHT(B35,LEN(B35)-2)*100,IF(LEFT(B35,2)="10",RIGHT(B35,LEN(B35)-2)*10,""))))))*1.1</f>
        <v>25080.000000000004</v>
      </c>
      <c r="C28" s="71"/>
      <c r="D28" s="71"/>
      <c r="E28" s="74"/>
      <c r="F28" s="73" t="e">
        <f>(IF(LEFT(F35,2)="50",RIGHT(F35,LEN(F35)-2)*100000,IF(LEFT(F35,2)="40",RIGHT(F35,LEN(F35)-2)*10000,IF(LEFT(F35,2)="30",RIGHT(F35,LEN(F35)-2)*1000,IF(LEFT(F35,2)="20",RIGHT(F35,LEN(F35)-2)*100,IF(LEFT(F35,2)="10",RIGHT(F35,LEN(F35)-2)*10,""))))))*1.1</f>
        <v>#VALUE!</v>
      </c>
      <c r="G28" s="71"/>
      <c r="H28" s="71"/>
      <c r="I28" s="74"/>
      <c r="J28" s="73" t="e">
        <f>(IF(LEFT(J35,2)="50",RIGHT(J35,LEN(J35)-2)*100000,IF(LEFT(J35,2)="40",RIGHT(J35,LEN(J35)-2)*10000,IF(LEFT(J35,2)="30",RIGHT(J35,LEN(J35)-2)*1000,IF(LEFT(J35,2)="20",RIGHT(J35,LEN(J35)-2)*100,IF(LEFT(J35,2)="10",RIGHT(J35,LEN(J35)-2)*10,""))))))*1.1</f>
        <v>#VALUE!</v>
      </c>
      <c r="K28" s="71"/>
      <c r="L28" s="71"/>
      <c r="M28" s="74"/>
      <c r="N28" s="73">
        <f>(IF(LEFT(N35,2)="50",RIGHT(N35,LEN(N35)-2)*100000,IF(LEFT(N35,2)="40",RIGHT(N35,LEN(N35)-2)*10000,IF(LEFT(N35,2)="30",RIGHT(N35,LEN(N35)-2)*1000,IF(LEFT(N35,2)="20",RIGHT(N35,LEN(N35)-2)*100,IF(LEFT(N35,2)="10",RIGHT(N35,LEN(N35)-2)*10,""))))))*1.1</f>
        <v>29150.000000000004</v>
      </c>
      <c r="O28" s="71"/>
      <c r="P28" s="71"/>
      <c r="Q28" s="74"/>
      <c r="R28" s="73">
        <f>(IF(LEFT(R35,2)="50",RIGHT(R35,LEN(R35)-2)*100000,IF(LEFT(R35,2)="40",RIGHT(R35,LEN(R35)-2)*10000,IF(LEFT(R35,2)="30",RIGHT(R35,LEN(R35)-2)*1000,IF(LEFT(R35,2)="20",RIGHT(R35,LEN(R35)-2)*100,IF(LEFT(R35,2)="10",RIGHT(R35,LEN(R35)-2)*10,""))))))*1.1</f>
        <v>17270</v>
      </c>
      <c r="S28" s="71"/>
      <c r="T28" s="71"/>
      <c r="U28" s="74"/>
      <c r="V28" s="95">
        <f>(IF(LEFT(V35,2)="50",RIGHT(V35,LEN(V35)-2)*100000,IF(LEFT(V35,2)="40",RIGHT(V35,LEN(V35)-2)*10000,IF(LEFT(V35,2)="30",RIGHT(V35,LEN(V35)-2)*1000,IF(LEFT(V35,2)="20",RIGHT(V35,LEN(V35)-2)*100,IF(LEFT(V35,2)="10",RIGHT(V35,LEN(V35)-2)*10,""))))))*1.1</f>
        <v>25960.000000000004</v>
      </c>
      <c r="W28" s="82"/>
      <c r="X28" s="82"/>
      <c r="Y28" s="96"/>
      <c r="Z28" s="95">
        <f>(IF(LEFT(Z35,2)="50",RIGHT(Z35,LEN(Z35)-2)*100000,IF(LEFT(Z35,2)="40",RIGHT(Z35,LEN(Z35)-2)*10000,IF(LEFT(Z35,2)="30",RIGHT(Z35,LEN(Z35)-2)*1000,IF(LEFT(Z35,2)="20",RIGHT(Z35,LEN(Z35)-2)*100,IF(LEFT(Z35,2)="10",RIGHT(Z35,LEN(Z35)-2)*10,""))))))*1.1</f>
        <v>20020</v>
      </c>
      <c r="AA28" s="82"/>
      <c r="AB28" s="82"/>
      <c r="AC28" s="96"/>
      <c r="AD28" s="95" t="e">
        <f>(IF(LEFT(AD35,2)="50",RIGHT(AD35,LEN(AD35)-2)*100000,IF(LEFT(AD35,2)="40",RIGHT(AD35,LEN(AD35)-2)*10000,IF(LEFT(AD35,2)="30",RIGHT(AD35,LEN(AD35)-2)*1000,IF(LEFT(AD35,2)="20",RIGHT(AD35,LEN(AD35)-2)*100,IF(LEFT(AD35,2)="10",RIGHT(AD35,LEN(AD35)-2)*10,""))))))*1.1</f>
        <v>#VALUE!</v>
      </c>
      <c r="AE28" s="82"/>
      <c r="AF28" s="82"/>
      <c r="AG28" s="96"/>
    </row>
    <row r="29" spans="2:37" ht="13.5" hidden="1" customHeight="1" x14ac:dyDescent="0.15">
      <c r="B29" s="95">
        <f>IF(ISERROR(ROUND(B28,-1)),"",ROUND(B28,-1))</f>
        <v>25080</v>
      </c>
      <c r="C29" s="82"/>
      <c r="D29" s="82"/>
      <c r="E29" s="96"/>
      <c r="F29" s="95" t="str">
        <f>IF(ISERROR(ROUND(F28,-1)),"",ROUND(F28,-1))</f>
        <v/>
      </c>
      <c r="G29" s="82"/>
      <c r="H29" s="82"/>
      <c r="I29" s="96"/>
      <c r="J29" s="95" t="str">
        <f>IF(ISERROR(ROUND(J28,-1)),"",ROUND(J28,-1))</f>
        <v/>
      </c>
      <c r="K29" s="82"/>
      <c r="L29" s="82"/>
      <c r="M29" s="96"/>
      <c r="N29" s="95">
        <f>IF(ISERROR(ROUND(N28,-1)),"",ROUND(N28,-1))</f>
        <v>29150</v>
      </c>
      <c r="O29" s="82"/>
      <c r="P29" s="82"/>
      <c r="Q29" s="96"/>
      <c r="R29" s="95">
        <f>IF(ISERROR(ROUND(R28,-1)),"",ROUND(R28,-1))</f>
        <v>17270</v>
      </c>
      <c r="S29" s="82"/>
      <c r="T29" s="82"/>
      <c r="U29" s="96"/>
      <c r="V29" s="95">
        <f>IF(ISERROR(ROUND(V28,-1)),"",ROUND(V28,-1))</f>
        <v>25960</v>
      </c>
      <c r="W29" s="82"/>
      <c r="X29" s="82"/>
      <c r="Y29" s="96"/>
      <c r="Z29" s="95">
        <f>IF(ISERROR(ROUND(Z28,-1)),"",ROUND(Z28,-1))</f>
        <v>20020</v>
      </c>
      <c r="AA29" s="82"/>
      <c r="AB29" s="82"/>
      <c r="AC29" s="96"/>
      <c r="AD29" s="95" t="str">
        <f>IF(ISERROR(ROUND(AD28,-1)),"",ROUND(AD28,-1))</f>
        <v/>
      </c>
      <c r="AE29" s="82"/>
      <c r="AF29" s="82"/>
      <c r="AG29" s="96"/>
    </row>
    <row r="30" spans="2:37" ht="15" customHeight="1" x14ac:dyDescent="0.15">
      <c r="B30" s="86" t="s">
        <v>7</v>
      </c>
      <c r="C30" s="87"/>
      <c r="D30" s="87"/>
      <c r="E30" s="14" t="s">
        <v>11</v>
      </c>
      <c r="F30" s="86"/>
      <c r="G30" s="87"/>
      <c r="H30" s="87"/>
      <c r="I30" s="14"/>
      <c r="J30" s="86"/>
      <c r="K30" s="87"/>
      <c r="L30" s="87"/>
      <c r="M30" s="23"/>
      <c r="N30" s="86"/>
      <c r="O30" s="87"/>
      <c r="P30" s="87"/>
      <c r="Q30" s="14"/>
      <c r="R30" s="86"/>
      <c r="S30" s="87"/>
      <c r="T30" s="87"/>
      <c r="U30" s="14"/>
      <c r="V30" s="86"/>
      <c r="W30" s="87"/>
      <c r="X30" s="87"/>
      <c r="Y30" s="23"/>
      <c r="Z30" s="86"/>
      <c r="AA30" s="87"/>
      <c r="AB30" s="87"/>
      <c r="AC30" s="14"/>
      <c r="AD30" s="86"/>
      <c r="AE30" s="87"/>
      <c r="AF30" s="87"/>
      <c r="AG30" s="14"/>
      <c r="AJ30" s="3"/>
    </row>
    <row r="31" spans="2:37" ht="15.75" customHeight="1" x14ac:dyDescent="0.15">
      <c r="B31" s="13" t="s">
        <v>1</v>
      </c>
      <c r="C31" s="79">
        <f t="shared" ref="C31" si="44">D32*1.1</f>
        <v>104500.00000000001</v>
      </c>
      <c r="D31" s="79"/>
      <c r="E31" s="80"/>
      <c r="F31" s="13" t="s">
        <v>1</v>
      </c>
      <c r="G31" s="79">
        <f t="shared" ref="G31" si="45">H32*1.1</f>
        <v>0</v>
      </c>
      <c r="H31" s="79"/>
      <c r="I31" s="80"/>
      <c r="J31" s="13" t="s">
        <v>1</v>
      </c>
      <c r="K31" s="79">
        <f t="shared" ref="K31" si="46">L32*1.1</f>
        <v>0</v>
      </c>
      <c r="L31" s="79"/>
      <c r="M31" s="80"/>
      <c r="N31" s="13" t="s">
        <v>1</v>
      </c>
      <c r="O31" s="79">
        <f t="shared" ref="O31" si="47">P32*1.1</f>
        <v>0</v>
      </c>
      <c r="P31" s="79"/>
      <c r="Q31" s="80"/>
      <c r="R31" s="13" t="s">
        <v>1</v>
      </c>
      <c r="S31" s="79">
        <f t="shared" ref="S31" si="48">T32*1.1</f>
        <v>0</v>
      </c>
      <c r="T31" s="79"/>
      <c r="U31" s="80"/>
      <c r="V31" s="13" t="s">
        <v>1</v>
      </c>
      <c r="W31" s="79">
        <f t="shared" ref="W31" si="49">X32*1.1</f>
        <v>0</v>
      </c>
      <c r="X31" s="79"/>
      <c r="Y31" s="80"/>
      <c r="Z31" s="13" t="s">
        <v>1</v>
      </c>
      <c r="AA31" s="79">
        <f t="shared" ref="AA31" si="50">AB32*1.1</f>
        <v>0</v>
      </c>
      <c r="AB31" s="79"/>
      <c r="AC31" s="80"/>
      <c r="AD31" s="13" t="s">
        <v>1</v>
      </c>
      <c r="AE31" s="79">
        <f t="shared" ref="AE31" si="51">AF32*1.1</f>
        <v>0</v>
      </c>
      <c r="AF31" s="79"/>
      <c r="AG31" s="80"/>
      <c r="AJ31" s="5"/>
    </row>
    <row r="32" spans="2:37" ht="11.45" customHeight="1" x14ac:dyDescent="0.15">
      <c r="B32" s="77" t="s">
        <v>2</v>
      </c>
      <c r="C32" s="78"/>
      <c r="D32" s="75">
        <v>95000</v>
      </c>
      <c r="E32" s="76"/>
      <c r="F32" s="77" t="s">
        <v>2</v>
      </c>
      <c r="G32" s="78"/>
      <c r="H32" s="75"/>
      <c r="I32" s="76"/>
      <c r="J32" s="77" t="s">
        <v>2</v>
      </c>
      <c r="K32" s="78"/>
      <c r="L32" s="75"/>
      <c r="M32" s="76"/>
      <c r="N32" s="77" t="s">
        <v>2</v>
      </c>
      <c r="O32" s="78"/>
      <c r="P32" s="75"/>
      <c r="Q32" s="76"/>
      <c r="R32" s="77" t="s">
        <v>2</v>
      </c>
      <c r="S32" s="78"/>
      <c r="T32" s="75"/>
      <c r="U32" s="76"/>
      <c r="V32" s="77" t="s">
        <v>2</v>
      </c>
      <c r="W32" s="78"/>
      <c r="X32" s="75"/>
      <c r="Y32" s="76"/>
      <c r="Z32" s="77" t="s">
        <v>2</v>
      </c>
      <c r="AA32" s="78"/>
      <c r="AB32" s="75"/>
      <c r="AC32" s="76"/>
      <c r="AD32" s="77" t="s">
        <v>2</v>
      </c>
      <c r="AE32" s="78"/>
      <c r="AF32" s="75"/>
      <c r="AG32" s="76"/>
      <c r="AJ32" s="5"/>
    </row>
    <row r="33" spans="2:36" ht="11.25" customHeight="1" x14ac:dyDescent="0.15">
      <c r="B33" s="6"/>
      <c r="C33" s="7"/>
      <c r="D33" s="7"/>
      <c r="E33" s="8"/>
      <c r="F33" s="6"/>
      <c r="G33" s="7"/>
      <c r="H33" s="7"/>
      <c r="I33" s="8"/>
      <c r="J33" s="6"/>
      <c r="K33" s="7"/>
      <c r="L33" s="7"/>
      <c r="M33" s="8"/>
      <c r="N33" s="6"/>
      <c r="O33" s="7"/>
      <c r="P33" s="7"/>
      <c r="Q33" s="8"/>
      <c r="R33" s="6"/>
      <c r="S33" s="7"/>
      <c r="T33" s="7"/>
      <c r="U33" s="8"/>
      <c r="V33" s="6"/>
      <c r="W33" s="7"/>
      <c r="X33" s="7"/>
      <c r="Y33" s="8"/>
      <c r="Z33" s="6"/>
      <c r="AA33" s="7"/>
      <c r="AB33" s="7"/>
      <c r="AC33" s="8"/>
      <c r="AD33" s="6"/>
      <c r="AE33" s="7"/>
      <c r="AF33" s="7"/>
      <c r="AG33" s="8"/>
      <c r="AJ33" s="5"/>
    </row>
    <row r="34" spans="2:36" ht="14.25" customHeight="1" x14ac:dyDescent="0.15">
      <c r="B34" s="67" t="str">
        <f t="shared" ref="B34" si="52">IF(B29="","",IF(RIGHT(B29,5)="00000","50"&amp;LEFT(B29,LEN(B29)-5),IF(RIGHT(B29,4)="0000","40"&amp;LEFT(B29,LEN(B29)-4),IF(RIGHT(B29,3)="000","30"&amp;LEFT(B29,LEN(B29)-3),IF(RIGHT(B29,2)="00","20"&amp;LEFT(B29,LEN(B29)-2),IF(RIGHT(B29,1)="0","10"&amp;LEFT(B29,LEN(B29)-1),"error"))))))</f>
        <v>102508</v>
      </c>
      <c r="C34" s="68"/>
      <c r="D34" s="68"/>
      <c r="E34" s="9"/>
      <c r="F34" s="67" t="str">
        <f t="shared" ref="F34" si="53">IF(F29="","",IF(RIGHT(F29,5)="00000","50"&amp;LEFT(F29,LEN(F29)-5),IF(RIGHT(F29,4)="0000","40"&amp;LEFT(F29,LEN(F29)-4),IF(RIGHT(F29,3)="000","30"&amp;LEFT(F29,LEN(F29)-3),IF(RIGHT(F29,2)="00","20"&amp;LEFT(F29,LEN(F29)-2),IF(RIGHT(F29,1)="0","10"&amp;LEFT(F29,LEN(F29)-1),"error"))))))</f>
        <v/>
      </c>
      <c r="G34" s="68"/>
      <c r="H34" s="68"/>
      <c r="I34" s="17"/>
      <c r="J34" s="67" t="str">
        <f t="shared" ref="J34" si="54">IF(J29="","",IF(RIGHT(J29,5)="00000","50"&amp;LEFT(J29,LEN(J29)-5),IF(RIGHT(J29,4)="0000","40"&amp;LEFT(J29,LEN(J29)-4),IF(RIGHT(J29,3)="000","30"&amp;LEFT(J29,LEN(J29)-3),IF(RIGHT(J29,2)="00","20"&amp;LEFT(J29,LEN(J29)-2),IF(RIGHT(J29,1)="0","10"&amp;LEFT(J29,LEN(J29)-1),"error"))))))</f>
        <v/>
      </c>
      <c r="K34" s="68"/>
      <c r="L34" s="68"/>
      <c r="M34" s="17"/>
      <c r="N34" s="67" t="str">
        <f t="shared" ref="N34" si="55">IF(N29="","",IF(RIGHT(N29,5)="00000","50"&amp;LEFT(N29,LEN(N29)-5),IF(RIGHT(N29,4)="0000","40"&amp;LEFT(N29,LEN(N29)-4),IF(RIGHT(N29,3)="000","30"&amp;LEFT(N29,LEN(N29)-3),IF(RIGHT(N29,2)="00","20"&amp;LEFT(N29,LEN(N29)-2),IF(RIGHT(N29,1)="0","10"&amp;LEFT(N29,LEN(N29)-1),"error"))))))</f>
        <v>102915</v>
      </c>
      <c r="O34" s="68"/>
      <c r="P34" s="68"/>
      <c r="Q34" s="17"/>
      <c r="R34" s="67" t="str">
        <f t="shared" ref="R34" si="56">IF(R29="","",IF(RIGHT(R29,5)="00000","50"&amp;LEFT(R29,LEN(R29)-5),IF(RIGHT(R29,4)="0000","40"&amp;LEFT(R29,LEN(R29)-4),IF(RIGHT(R29,3)="000","30"&amp;LEFT(R29,LEN(R29)-3),IF(RIGHT(R29,2)="00","20"&amp;LEFT(R29,LEN(R29)-2),IF(RIGHT(R29,1)="0","10"&amp;LEFT(R29,LEN(R29)-1),"error"))))))</f>
        <v>101727</v>
      </c>
      <c r="S34" s="68"/>
      <c r="T34" s="68"/>
      <c r="U34" s="17"/>
      <c r="V34" s="67" t="str">
        <f t="shared" ref="V34" si="57">IF(V29="","",IF(RIGHT(V29,5)="00000","50"&amp;LEFT(V29,LEN(V29)-5),IF(RIGHT(V29,4)="0000","40"&amp;LEFT(V29,LEN(V29)-4),IF(RIGHT(V29,3)="000","30"&amp;LEFT(V29,LEN(V29)-3),IF(RIGHT(V29,2)="00","20"&amp;LEFT(V29,LEN(V29)-2),IF(RIGHT(V29,1)="0","10"&amp;LEFT(V29,LEN(V29)-1),"error"))))))</f>
        <v>102596</v>
      </c>
      <c r="W34" s="68"/>
      <c r="X34" s="68"/>
      <c r="Y34" s="17"/>
      <c r="Z34" s="67" t="str">
        <f t="shared" ref="Z34" si="58">IF(Z29="","",IF(RIGHT(Z29,5)="00000","50"&amp;LEFT(Z29,LEN(Z29)-5),IF(RIGHT(Z29,4)="0000","40"&amp;LEFT(Z29,LEN(Z29)-4),IF(RIGHT(Z29,3)="000","30"&amp;LEFT(Z29,LEN(Z29)-3),IF(RIGHT(Z29,2)="00","20"&amp;LEFT(Z29,LEN(Z29)-2),IF(RIGHT(Z29,1)="0","10"&amp;LEFT(Z29,LEN(Z29)-1),"error"))))))</f>
        <v>102002</v>
      </c>
      <c r="AA34" s="68"/>
      <c r="AB34" s="68"/>
      <c r="AC34" s="17"/>
      <c r="AD34" s="67" t="str">
        <f t="shared" ref="AD34" si="59">IF(AD29="","",IF(RIGHT(AD29,5)="00000","50"&amp;LEFT(AD29,LEN(AD29)-5),IF(RIGHT(AD29,4)="0000","40"&amp;LEFT(AD29,LEN(AD29)-4),IF(RIGHT(AD29,3)="000","30"&amp;LEFT(AD29,LEN(AD29)-3),IF(RIGHT(AD29,2)="00","20"&amp;LEFT(AD29,LEN(AD29)-2),IF(RIGHT(AD29,1)="0","10"&amp;LEFT(AD29,LEN(AD29)-1),"error"))))))</f>
        <v/>
      </c>
      <c r="AE34" s="68"/>
      <c r="AF34" s="68"/>
      <c r="AG34" s="9"/>
      <c r="AJ34" s="5"/>
    </row>
    <row r="35" spans="2:36" ht="14.25" customHeight="1" x14ac:dyDescent="0.15">
      <c r="B35" s="69">
        <v>20228</v>
      </c>
      <c r="C35" s="70"/>
      <c r="D35" s="70"/>
      <c r="E35" s="10"/>
      <c r="F35" s="69">
        <v>0</v>
      </c>
      <c r="G35" s="70"/>
      <c r="H35" s="70"/>
      <c r="I35" s="10"/>
      <c r="J35" s="69">
        <v>0</v>
      </c>
      <c r="K35" s="70"/>
      <c r="L35" s="70"/>
      <c r="M35" s="10"/>
      <c r="N35" s="69">
        <v>20265</v>
      </c>
      <c r="O35" s="70"/>
      <c r="P35" s="70"/>
      <c r="Q35" s="10"/>
      <c r="R35" s="69">
        <v>20157</v>
      </c>
      <c r="S35" s="70"/>
      <c r="T35" s="70"/>
      <c r="U35" s="10"/>
      <c r="V35" s="69">
        <v>20236</v>
      </c>
      <c r="W35" s="70"/>
      <c r="X35" s="70"/>
      <c r="Y35" s="10"/>
      <c r="Z35" s="69">
        <v>20182</v>
      </c>
      <c r="AA35" s="70"/>
      <c r="AB35" s="70"/>
      <c r="AC35" s="10"/>
      <c r="AD35" s="69"/>
      <c r="AE35" s="70"/>
      <c r="AF35" s="70"/>
      <c r="AG35" s="10"/>
      <c r="AI35" s="2"/>
    </row>
    <row r="36" spans="2:36" ht="24.75" customHeight="1" x14ac:dyDescent="0.15">
      <c r="B36" s="83" t="s">
        <v>12</v>
      </c>
      <c r="C36" s="84"/>
      <c r="D36" s="84"/>
      <c r="E36" s="85"/>
      <c r="F36" s="83"/>
      <c r="G36" s="84"/>
      <c r="H36" s="84"/>
      <c r="I36" s="85"/>
      <c r="J36" s="83"/>
      <c r="K36" s="84"/>
      <c r="L36" s="84"/>
      <c r="M36" s="85"/>
      <c r="N36" s="83"/>
      <c r="O36" s="84"/>
      <c r="P36" s="84"/>
      <c r="Q36" s="85"/>
      <c r="R36" s="83"/>
      <c r="S36" s="84"/>
      <c r="T36" s="84"/>
      <c r="U36" s="85"/>
      <c r="V36" s="83"/>
      <c r="W36" s="84"/>
      <c r="X36" s="84"/>
      <c r="Y36" s="85"/>
      <c r="Z36" s="104"/>
      <c r="AA36" s="84"/>
      <c r="AB36" s="84"/>
      <c r="AC36" s="85"/>
      <c r="AD36" s="98"/>
      <c r="AE36" s="99"/>
      <c r="AF36" s="99"/>
      <c r="AG36" s="103"/>
      <c r="AI36" s="4"/>
    </row>
    <row r="37" spans="2:36" ht="13.5" hidden="1" customHeight="1" x14ac:dyDescent="0.15">
      <c r="B37" s="72" t="e">
        <f>(IF(LEFT(B44,2)="50",RIGHT(B44,LEN(B44)-2)*100000,IF(LEFT(B44,2)="40",RIGHT(B44,LEN(B44)-2)*10000,IF(LEFT(B44,2)="30",RIGHT(B44,LEN(B44)-2)*1000,IF(LEFT(B44,2)="20",RIGHT(B44,LEN(B44)-2)*100,IF(LEFT(B44,2)="10",RIGHT(B44,LEN(B44)-2)*10,""))))))*1.1</f>
        <v>#VALUE!</v>
      </c>
      <c r="C37" s="71"/>
      <c r="D37" s="71"/>
      <c r="E37" s="71"/>
      <c r="F37" s="71" t="e">
        <f>(IF(LEFT(F44,2)="50",RIGHT(F44,LEN(F44)-2)*100000,IF(LEFT(F44,2)="40",RIGHT(F44,LEN(F44)-2)*10000,IF(LEFT(F44,2)="30",RIGHT(F44,LEN(F44)-2)*1000,IF(LEFT(F44,2)="20",RIGHT(F44,LEN(F44)-2)*100,IF(LEFT(F44,2)="10",RIGHT(F44,LEN(F44)-2)*10,""))))))*1.1</f>
        <v>#VALUE!</v>
      </c>
      <c r="G37" s="71"/>
      <c r="H37" s="71"/>
      <c r="I37" s="71"/>
      <c r="J37" s="71" t="e">
        <f>(IF(LEFT(J44,2)="50",RIGHT(J44,LEN(J44)-2)*100000,IF(LEFT(J44,2)="40",RIGHT(J44,LEN(J44)-2)*10000,IF(LEFT(J44,2)="30",RIGHT(J44,LEN(J44)-2)*1000,IF(LEFT(J44,2)="20",RIGHT(J44,LEN(J44)-2)*100,IF(LEFT(J44,2)="10",RIGHT(J44,LEN(J44)-2)*10,""))))))*1.1</f>
        <v>#VALUE!</v>
      </c>
      <c r="K37" s="71"/>
      <c r="L37" s="71"/>
      <c r="M37" s="71"/>
      <c r="N37" s="71" t="e">
        <f>(IF(LEFT(N44,2)="50",RIGHT(N44,LEN(N44)-2)*100000,IF(LEFT(N44,2)="40",RIGHT(N44,LEN(N44)-2)*10000,IF(LEFT(N44,2)="30",RIGHT(N44,LEN(N44)-2)*1000,IF(LEFT(N44,2)="20",RIGHT(N44,LEN(N44)-2)*100,IF(LEFT(N44,2)="10",RIGHT(N44,LEN(N44)-2)*10,""))))))*1.1</f>
        <v>#VALUE!</v>
      </c>
      <c r="O37" s="71"/>
      <c r="P37" s="71"/>
      <c r="Q37" s="71"/>
      <c r="R37" s="71" t="e">
        <f>(IF(LEFT(R44,2)="50",RIGHT(R44,LEN(R44)-2)*100000,IF(LEFT(R44,2)="40",RIGHT(R44,LEN(R44)-2)*10000,IF(LEFT(R44,2)="30",RIGHT(R44,LEN(R44)-2)*1000,IF(LEFT(R44,2)="20",RIGHT(R44,LEN(R44)-2)*100,IF(LEFT(R44,2)="10",RIGHT(R44,LEN(R44)-2)*10,""))))))*1.1</f>
        <v>#VALUE!</v>
      </c>
      <c r="S37" s="71"/>
      <c r="T37" s="71"/>
      <c r="U37" s="71"/>
      <c r="V37" s="82" t="e">
        <f>(IF(LEFT(V44,2)="50",RIGHT(V44,LEN(V44)-2)*100000,IF(LEFT(V44,2)="40",RIGHT(V44,LEN(V44)-2)*10000,IF(LEFT(V44,2)="30",RIGHT(V44,LEN(V44)-2)*1000,IF(LEFT(V44,2)="20",RIGHT(V44,LEN(V44)-2)*100,IF(LEFT(V44,2)="10",RIGHT(V44,LEN(V44)-2)*10,""))))))*1.1</f>
        <v>#VALUE!</v>
      </c>
      <c r="W37" s="82"/>
      <c r="X37" s="82"/>
      <c r="Y37" s="82"/>
      <c r="Z37" s="82" t="e">
        <f>(IF(LEFT(Z44,2)="50",RIGHT(Z44,LEN(Z44)-2)*100000,IF(LEFT(Z44,2)="40",RIGHT(Z44,LEN(Z44)-2)*10000,IF(LEFT(Z44,2)="30",RIGHT(Z44,LEN(Z44)-2)*1000,IF(LEFT(Z44,2)="20",RIGHT(Z44,LEN(Z44)-2)*100,IF(LEFT(Z44,2)="10",RIGHT(Z44,LEN(Z44)-2)*10,""))))))*1.1</f>
        <v>#VALUE!</v>
      </c>
      <c r="AA37" s="82"/>
      <c r="AB37" s="82"/>
      <c r="AC37" s="82"/>
      <c r="AD37" s="82" t="e">
        <f>(IF(LEFT(AD44,2)="50",RIGHT(AD44,LEN(AD44)-2)*100000,IF(LEFT(AD44,2)="40",RIGHT(AD44,LEN(AD44)-2)*10000,IF(LEFT(AD44,2)="30",RIGHT(AD44,LEN(AD44)-2)*1000,IF(LEFT(AD44,2)="20",RIGHT(AD44,LEN(AD44)-2)*100,IF(LEFT(AD44,2)="10",RIGHT(AD44,LEN(AD44)-2)*10,""))))))*1.1</f>
        <v>#VALUE!</v>
      </c>
      <c r="AE37" s="82"/>
      <c r="AF37" s="82"/>
      <c r="AG37" s="97"/>
    </row>
    <row r="38" spans="2:36" hidden="1" x14ac:dyDescent="0.15">
      <c r="B38" s="89" t="str">
        <f>IF(ISERROR(ROUND(B37,-1)),"",ROUND(B37,-1))</f>
        <v/>
      </c>
      <c r="C38" s="90"/>
      <c r="D38" s="90"/>
      <c r="E38" s="90"/>
      <c r="F38" s="90" t="str">
        <f>IF(ISERROR(ROUND(F37,-1)),"",ROUND(F37,-1))</f>
        <v/>
      </c>
      <c r="G38" s="90"/>
      <c r="H38" s="90"/>
      <c r="I38" s="90"/>
      <c r="J38" s="90" t="str">
        <f>IF(ISERROR(ROUND(J37,-1)),"",ROUND(J37,-1))</f>
        <v/>
      </c>
      <c r="K38" s="90"/>
      <c r="L38" s="90"/>
      <c r="M38" s="90"/>
      <c r="N38" s="90" t="str">
        <f>IF(ISERROR(ROUND(N37,-1)),"",ROUND(N37,-1))</f>
        <v/>
      </c>
      <c r="O38" s="90"/>
      <c r="P38" s="90"/>
      <c r="Q38" s="90"/>
      <c r="R38" s="90" t="str">
        <f>IF(ISERROR(ROUND(R37,-1)),"",ROUND(R37,-1))</f>
        <v/>
      </c>
      <c r="S38" s="90"/>
      <c r="T38" s="90"/>
      <c r="U38" s="90"/>
      <c r="V38" s="90" t="str">
        <f>IF(ISERROR(ROUND(V37,-1)),"",ROUND(V37,-1))</f>
        <v/>
      </c>
      <c r="W38" s="90"/>
      <c r="X38" s="90"/>
      <c r="Y38" s="90"/>
      <c r="Z38" s="90" t="str">
        <f>IF(ISERROR(ROUND(Z37,-1)),"",ROUND(Z37,-1))</f>
        <v/>
      </c>
      <c r="AA38" s="90"/>
      <c r="AB38" s="90"/>
      <c r="AC38" s="90"/>
      <c r="AD38" s="90" t="str">
        <f>IF(ISERROR(ROUND(AD37,-1)),"",ROUND(AD37,-1))</f>
        <v/>
      </c>
      <c r="AE38" s="90"/>
      <c r="AF38" s="90"/>
      <c r="AG38" s="105"/>
    </row>
    <row r="39" spans="2:36" ht="15" customHeight="1" x14ac:dyDescent="0.15">
      <c r="B39" s="86"/>
      <c r="C39" s="87"/>
      <c r="D39" s="87"/>
      <c r="E39" s="14"/>
      <c r="F39" s="86"/>
      <c r="G39" s="87"/>
      <c r="H39" s="87"/>
      <c r="I39" s="14"/>
      <c r="J39" s="86"/>
      <c r="K39" s="87"/>
      <c r="L39" s="87"/>
      <c r="M39" s="14"/>
      <c r="N39" s="86"/>
      <c r="O39" s="87"/>
      <c r="P39" s="87"/>
      <c r="Q39" s="14"/>
      <c r="R39" s="86"/>
      <c r="S39" s="87"/>
      <c r="T39" s="87"/>
      <c r="U39" s="14"/>
      <c r="V39" s="86"/>
      <c r="W39" s="87"/>
      <c r="X39" s="87"/>
      <c r="Y39" s="14"/>
      <c r="Z39" s="86"/>
      <c r="AA39" s="87"/>
      <c r="AB39" s="87"/>
      <c r="AC39" s="14"/>
      <c r="AD39" s="86"/>
      <c r="AE39" s="87"/>
      <c r="AF39" s="87"/>
      <c r="AG39" s="14"/>
      <c r="AJ39" s="3"/>
    </row>
    <row r="40" spans="2:36" ht="15.95" customHeight="1" x14ac:dyDescent="0.15">
      <c r="B40" s="13" t="s">
        <v>1</v>
      </c>
      <c r="C40" s="79">
        <f>D41*1.1</f>
        <v>0</v>
      </c>
      <c r="D40" s="79"/>
      <c r="E40" s="80"/>
      <c r="F40" s="13" t="s">
        <v>1</v>
      </c>
      <c r="G40" s="79">
        <f t="shared" ref="G40" si="60">H41*1.1</f>
        <v>0</v>
      </c>
      <c r="H40" s="79"/>
      <c r="I40" s="80"/>
      <c r="J40" s="13" t="s">
        <v>1</v>
      </c>
      <c r="K40" s="79">
        <f t="shared" ref="K40" si="61">L41*1.1</f>
        <v>0</v>
      </c>
      <c r="L40" s="79"/>
      <c r="M40" s="80"/>
      <c r="N40" s="13" t="s">
        <v>1</v>
      </c>
      <c r="O40" s="79">
        <f t="shared" ref="O40" si="62">P41*1.1</f>
        <v>0</v>
      </c>
      <c r="P40" s="79"/>
      <c r="Q40" s="80"/>
      <c r="R40" s="13" t="s">
        <v>1</v>
      </c>
      <c r="S40" s="79">
        <f t="shared" ref="S40" si="63">T41*1.1</f>
        <v>0</v>
      </c>
      <c r="T40" s="79"/>
      <c r="U40" s="80"/>
      <c r="V40" s="13" t="s">
        <v>1</v>
      </c>
      <c r="W40" s="79">
        <f t="shared" ref="W40" si="64">X41*1.1</f>
        <v>0</v>
      </c>
      <c r="X40" s="79"/>
      <c r="Y40" s="80"/>
      <c r="Z40" s="13" t="s">
        <v>1</v>
      </c>
      <c r="AA40" s="79">
        <f t="shared" ref="AA40" si="65">AB41*1.1</f>
        <v>0</v>
      </c>
      <c r="AB40" s="79"/>
      <c r="AC40" s="80"/>
      <c r="AD40" s="13" t="s">
        <v>1</v>
      </c>
      <c r="AE40" s="79">
        <f t="shared" ref="AE40" si="66">AF41*1.1</f>
        <v>0</v>
      </c>
      <c r="AF40" s="79"/>
      <c r="AG40" s="80"/>
      <c r="AJ40" s="5"/>
    </row>
    <row r="41" spans="2:36" ht="11.45" customHeight="1" x14ac:dyDescent="0.15">
      <c r="B41" s="77" t="s">
        <v>2</v>
      </c>
      <c r="C41" s="78"/>
      <c r="D41" s="75"/>
      <c r="E41" s="76"/>
      <c r="F41" s="77" t="s">
        <v>2</v>
      </c>
      <c r="G41" s="78"/>
      <c r="H41" s="75"/>
      <c r="I41" s="76"/>
      <c r="J41" s="77" t="s">
        <v>2</v>
      </c>
      <c r="K41" s="78"/>
      <c r="L41" s="75"/>
      <c r="M41" s="76"/>
      <c r="N41" s="77" t="s">
        <v>2</v>
      </c>
      <c r="O41" s="78"/>
      <c r="P41" s="75"/>
      <c r="Q41" s="76"/>
      <c r="R41" s="77" t="s">
        <v>2</v>
      </c>
      <c r="S41" s="78"/>
      <c r="T41" s="75"/>
      <c r="U41" s="76"/>
      <c r="V41" s="77" t="s">
        <v>2</v>
      </c>
      <c r="W41" s="78"/>
      <c r="X41" s="75"/>
      <c r="Y41" s="76"/>
      <c r="Z41" s="77" t="s">
        <v>2</v>
      </c>
      <c r="AA41" s="78"/>
      <c r="AB41" s="75"/>
      <c r="AC41" s="76"/>
      <c r="AD41" s="77" t="s">
        <v>2</v>
      </c>
      <c r="AE41" s="78"/>
      <c r="AF41" s="75"/>
      <c r="AG41" s="76"/>
      <c r="AJ41" s="5"/>
    </row>
    <row r="42" spans="2:36" ht="11.25" customHeight="1" x14ac:dyDescent="0.15">
      <c r="B42" s="6"/>
      <c r="C42" s="7"/>
      <c r="D42" s="7"/>
      <c r="E42" s="8"/>
      <c r="F42" s="6"/>
      <c r="G42" s="7"/>
      <c r="H42" s="7"/>
      <c r="I42" s="8"/>
      <c r="J42" s="6"/>
      <c r="K42" s="7"/>
      <c r="L42" s="7"/>
      <c r="M42" s="8"/>
      <c r="N42" s="6"/>
      <c r="O42" s="7"/>
      <c r="P42" s="7"/>
      <c r="Q42" s="8"/>
      <c r="R42" s="6"/>
      <c r="S42" s="7"/>
      <c r="T42" s="7"/>
      <c r="U42" s="8"/>
      <c r="V42" s="6"/>
      <c r="W42" s="7"/>
      <c r="X42" s="7"/>
      <c r="Y42" s="8"/>
      <c r="Z42" s="6"/>
      <c r="AA42" s="7"/>
      <c r="AB42" s="7"/>
      <c r="AC42" s="8"/>
      <c r="AD42" s="6"/>
      <c r="AE42" s="7"/>
      <c r="AF42" s="7"/>
      <c r="AG42" s="8"/>
      <c r="AJ42" s="5"/>
    </row>
    <row r="43" spans="2:36" ht="14.25" customHeight="1" x14ac:dyDescent="0.15">
      <c r="B43" s="67" t="str">
        <f>IF(B38="","",IF(RIGHT(B38,5)="00000","50"&amp;LEFT(B38,LEN(B38)-5),IF(RIGHT(B38,4)="0000","40"&amp;LEFT(B38,LEN(B38)-4),IF(RIGHT(B38,3)="000","30"&amp;LEFT(B38,LEN(B38)-3),IF(RIGHT(B38,2)="00","20"&amp;LEFT(B38,LEN(B38)-2),IF(RIGHT(B38,1)="0","10"&amp;LEFT(B38,LEN(B38)-1),"error"))))))</f>
        <v/>
      </c>
      <c r="C43" s="68"/>
      <c r="D43" s="68"/>
      <c r="E43" s="9"/>
      <c r="F43" s="67" t="str">
        <f>IF(F38="","",IF(RIGHT(F38,5)="00000","50"&amp;LEFT(F38,LEN(F38)-5),IF(RIGHT(F38,4)="0000","40"&amp;LEFT(F38,LEN(F38)-4),IF(RIGHT(F38,3)="000","30"&amp;LEFT(F38,LEN(F38)-3),IF(RIGHT(F38,2)="00","20"&amp;LEFT(F38,LEN(F38)-2),IF(RIGHT(F38,1)="0","10"&amp;LEFT(F38,LEN(F38)-1),"error"))))))</f>
        <v/>
      </c>
      <c r="G43" s="68"/>
      <c r="H43" s="68"/>
      <c r="I43" s="9"/>
      <c r="J43" s="67" t="str">
        <f t="shared" ref="J43" si="67">IF(J38="","",IF(RIGHT(J38,5)="00000","50"&amp;LEFT(J38,LEN(J38)-5),IF(RIGHT(J38,4)="0000","40"&amp;LEFT(J38,LEN(J38)-4),IF(RIGHT(J38,3)="000","30"&amp;LEFT(J38,LEN(J38)-3),IF(RIGHT(J38,2)="00","20"&amp;LEFT(J38,LEN(J38)-2),IF(RIGHT(J38,1)="0","10"&amp;LEFT(J38,LEN(J38)-1),"error"))))))</f>
        <v/>
      </c>
      <c r="K43" s="68"/>
      <c r="L43" s="68"/>
      <c r="M43" s="9"/>
      <c r="N43" s="67" t="str">
        <f t="shared" ref="N43" si="68">IF(N38="","",IF(RIGHT(N38,5)="00000","50"&amp;LEFT(N38,LEN(N38)-5),IF(RIGHT(N38,4)="0000","40"&amp;LEFT(N38,LEN(N38)-4),IF(RIGHT(N38,3)="000","30"&amp;LEFT(N38,LEN(N38)-3),IF(RIGHT(N38,2)="00","20"&amp;LEFT(N38,LEN(N38)-2),IF(RIGHT(N38,1)="0","10"&amp;LEFT(N38,LEN(N38)-1),"error"))))))</f>
        <v/>
      </c>
      <c r="O43" s="68"/>
      <c r="P43" s="68"/>
      <c r="Q43" s="9"/>
      <c r="R43" s="67" t="str">
        <f t="shared" ref="R43" si="69">IF(R38="","",IF(RIGHT(R38,5)="00000","50"&amp;LEFT(R38,LEN(R38)-5),IF(RIGHT(R38,4)="0000","40"&amp;LEFT(R38,LEN(R38)-4),IF(RIGHT(R38,3)="000","30"&amp;LEFT(R38,LEN(R38)-3),IF(RIGHT(R38,2)="00","20"&amp;LEFT(R38,LEN(R38)-2),IF(RIGHT(R38,1)="0","10"&amp;LEFT(R38,LEN(R38)-1),"error"))))))</f>
        <v/>
      </c>
      <c r="S43" s="68"/>
      <c r="T43" s="68"/>
      <c r="U43" s="9"/>
      <c r="V43" s="67" t="str">
        <f t="shared" ref="V43" si="70">IF(V38="","",IF(RIGHT(V38,5)="00000","50"&amp;LEFT(V38,LEN(V38)-5),IF(RIGHT(V38,4)="0000","40"&amp;LEFT(V38,LEN(V38)-4),IF(RIGHT(V38,3)="000","30"&amp;LEFT(V38,LEN(V38)-3),IF(RIGHT(V38,2)="00","20"&amp;LEFT(V38,LEN(V38)-2),IF(RIGHT(V38,1)="0","10"&amp;LEFT(V38,LEN(V38)-1),"error"))))))</f>
        <v/>
      </c>
      <c r="W43" s="68"/>
      <c r="X43" s="68"/>
      <c r="Y43" s="9"/>
      <c r="Z43" s="67" t="str">
        <f t="shared" ref="Z43" si="71">IF(Z38="","",IF(RIGHT(Z38,5)="00000","50"&amp;LEFT(Z38,LEN(Z38)-5),IF(RIGHT(Z38,4)="0000","40"&amp;LEFT(Z38,LEN(Z38)-4),IF(RIGHT(Z38,3)="000","30"&amp;LEFT(Z38,LEN(Z38)-3),IF(RIGHT(Z38,2)="00","20"&amp;LEFT(Z38,LEN(Z38)-2),IF(RIGHT(Z38,1)="0","10"&amp;LEFT(Z38,LEN(Z38)-1),"error"))))))</f>
        <v/>
      </c>
      <c r="AA43" s="68"/>
      <c r="AB43" s="68"/>
      <c r="AC43" s="9"/>
      <c r="AD43" s="67" t="str">
        <f t="shared" ref="AD43" si="72">IF(AD38="","",IF(RIGHT(AD38,5)="00000","50"&amp;LEFT(AD38,LEN(AD38)-5),IF(RIGHT(AD38,4)="0000","40"&amp;LEFT(AD38,LEN(AD38)-4),IF(RIGHT(AD38,3)="000","30"&amp;LEFT(AD38,LEN(AD38)-3),IF(RIGHT(AD38,2)="00","20"&amp;LEFT(AD38,LEN(AD38)-2),IF(RIGHT(AD38,1)="0","10"&amp;LEFT(AD38,LEN(AD38)-1),"error"))))))</f>
        <v/>
      </c>
      <c r="AE43" s="68"/>
      <c r="AF43" s="68"/>
      <c r="AG43" s="9"/>
      <c r="AJ43" s="5"/>
    </row>
    <row r="44" spans="2:36" ht="14.25" customHeight="1" x14ac:dyDescent="0.15">
      <c r="B44" s="69"/>
      <c r="C44" s="70"/>
      <c r="D44" s="70"/>
      <c r="E44" s="10"/>
      <c r="F44" s="69"/>
      <c r="G44" s="70"/>
      <c r="H44" s="70"/>
      <c r="I44" s="10"/>
      <c r="J44" s="69"/>
      <c r="K44" s="70"/>
      <c r="L44" s="70"/>
      <c r="M44" s="10"/>
      <c r="N44" s="69"/>
      <c r="O44" s="70"/>
      <c r="P44" s="70"/>
      <c r="Q44" s="10"/>
      <c r="R44" s="69"/>
      <c r="S44" s="70"/>
      <c r="T44" s="70"/>
      <c r="U44" s="10"/>
      <c r="V44" s="69"/>
      <c r="W44" s="70"/>
      <c r="X44" s="70"/>
      <c r="Y44" s="10"/>
      <c r="Z44" s="69"/>
      <c r="AA44" s="70"/>
      <c r="AB44" s="70"/>
      <c r="AC44" s="10"/>
      <c r="AD44" s="69"/>
      <c r="AE44" s="70"/>
      <c r="AF44" s="70"/>
      <c r="AG44" s="10"/>
      <c r="AI44" s="2"/>
    </row>
    <row r="45" spans="2:36" ht="24.75" customHeight="1" x14ac:dyDescent="0.15">
      <c r="B45" s="98"/>
      <c r="C45" s="99"/>
      <c r="D45" s="99"/>
      <c r="E45" s="103"/>
      <c r="F45" s="98"/>
      <c r="G45" s="99"/>
      <c r="H45" s="99"/>
      <c r="I45" s="103"/>
      <c r="J45" s="98"/>
      <c r="K45" s="99"/>
      <c r="L45" s="99"/>
      <c r="M45" s="103"/>
      <c r="N45" s="98"/>
      <c r="O45" s="99"/>
      <c r="P45" s="99"/>
      <c r="Q45" s="103"/>
      <c r="R45" s="98"/>
      <c r="S45" s="99"/>
      <c r="T45" s="99"/>
      <c r="U45" s="103"/>
      <c r="V45" s="98"/>
      <c r="W45" s="99"/>
      <c r="X45" s="99"/>
      <c r="Y45" s="103"/>
      <c r="Z45" s="98"/>
      <c r="AA45" s="99"/>
      <c r="AB45" s="99"/>
      <c r="AC45" s="103"/>
      <c r="AD45" s="98"/>
      <c r="AE45" s="99"/>
      <c r="AF45" s="99"/>
      <c r="AG45" s="103"/>
      <c r="AI45" s="4"/>
    </row>
    <row r="46" spans="2:36" hidden="1" x14ac:dyDescent="0.15">
      <c r="B46" s="95" t="e">
        <f>(IF(LEFT(B53,2)="50",RIGHT(B53,LEN(B53)-2)*100000,IF(LEFT(B53,2)="40",RIGHT(B53,LEN(B53)-2)*10000,IF(LEFT(B53,2)="30",RIGHT(B53,LEN(B53)-2)*1000,IF(LEFT(B53,2)="20",RIGHT(B53,LEN(B53)-2)*100,IF(LEFT(B53,2)="10",RIGHT(B53,LEN(B53)-2)*10,""))))))*1.1</f>
        <v>#VALUE!</v>
      </c>
      <c r="C46" s="82"/>
      <c r="D46" s="82"/>
      <c r="E46" s="82"/>
      <c r="F46" s="82" t="e">
        <f>(IF(LEFT(F53,2)="50",RIGHT(F53,LEN(F53)-2)*100000,IF(LEFT(F53,2)="40",RIGHT(F53,LEN(F53)-2)*10000,IF(LEFT(F53,2)="30",RIGHT(F53,LEN(F53)-2)*1000,IF(LEFT(F53,2)="20",RIGHT(F53,LEN(F53)-2)*100,IF(LEFT(F53,2)="10",RIGHT(F53,LEN(F53)-2)*10,""))))))*1.1</f>
        <v>#VALUE!</v>
      </c>
      <c r="G46" s="82"/>
      <c r="H46" s="82"/>
      <c r="I46" s="82"/>
      <c r="J46" s="82" t="e">
        <f>(IF(LEFT(J53,2)="50",RIGHT(J53,LEN(J53)-2)*100000,IF(LEFT(J53,2)="40",RIGHT(J53,LEN(J53)-2)*10000,IF(LEFT(J53,2)="30",RIGHT(J53,LEN(J53)-2)*1000,IF(LEFT(J53,2)="20",RIGHT(J53,LEN(J53)-2)*100,IF(LEFT(J53,2)="10",RIGHT(J53,LEN(J53)-2)*10,""))))))*1.1</f>
        <v>#VALUE!</v>
      </c>
      <c r="K46" s="82"/>
      <c r="L46" s="82"/>
      <c r="M46" s="82"/>
      <c r="N46" s="82" t="e">
        <f>(IF(LEFT(N53,2)="50",RIGHT(N53,LEN(N53)-2)*100000,IF(LEFT(N53,2)="40",RIGHT(N53,LEN(N53)-2)*10000,IF(LEFT(N53,2)="30",RIGHT(N53,LEN(N53)-2)*1000,IF(LEFT(N53,2)="20",RIGHT(N53,LEN(N53)-2)*100,IF(LEFT(N53,2)="10",RIGHT(N53,LEN(N53)-2)*10,""))))))*1.1</f>
        <v>#VALUE!</v>
      </c>
      <c r="O46" s="82"/>
      <c r="P46" s="82"/>
      <c r="Q46" s="82"/>
      <c r="R46" s="82" t="e">
        <f>(IF(LEFT(R53,2)="50",RIGHT(R53,LEN(R53)-2)*100000,IF(LEFT(R53,2)="40",RIGHT(R53,LEN(R53)-2)*10000,IF(LEFT(R53,2)="30",RIGHT(R53,LEN(R53)-2)*1000,IF(LEFT(R53,2)="20",RIGHT(R53,LEN(R53)-2)*100,IF(LEFT(R53,2)="10",RIGHT(R53,LEN(R53)-2)*10,""))))))*1.1</f>
        <v>#VALUE!</v>
      </c>
      <c r="S46" s="82"/>
      <c r="T46" s="82"/>
      <c r="U46" s="82"/>
      <c r="V46" s="82" t="e">
        <f>(IF(LEFT(V53,2)="50",RIGHT(V53,LEN(V53)-2)*100000,IF(LEFT(V53,2)="40",RIGHT(V53,LEN(V53)-2)*10000,IF(LEFT(V53,2)="30",RIGHT(V53,LEN(V53)-2)*1000,IF(LEFT(V53,2)="20",RIGHT(V53,LEN(V53)-2)*100,IF(LEFT(V53,2)="10",RIGHT(V53,LEN(V53)-2)*10,""))))))*1.1</f>
        <v>#VALUE!</v>
      </c>
      <c r="W46" s="82"/>
      <c r="X46" s="82"/>
      <c r="Y46" s="82"/>
      <c r="Z46" s="82" t="e">
        <f>(IF(LEFT(Z53,2)="50",RIGHT(Z53,LEN(Z53)-2)*100000,IF(LEFT(Z53,2)="40",RIGHT(Z53,LEN(Z53)-2)*10000,IF(LEFT(Z53,2)="30",RIGHT(Z53,LEN(Z53)-2)*1000,IF(LEFT(Z53,2)="20",RIGHT(Z53,LEN(Z53)-2)*100,IF(LEFT(Z53,2)="10",RIGHT(Z53,LEN(Z53)-2)*10,""))))))*1.1</f>
        <v>#VALUE!</v>
      </c>
      <c r="AA46" s="82"/>
      <c r="AB46" s="82"/>
      <c r="AC46" s="82"/>
      <c r="AD46" s="82" t="e">
        <f>(IF(LEFT(AD53,2)="50",RIGHT(AD53,LEN(AD53)-2)*100000,IF(LEFT(AD53,2)="40",RIGHT(AD53,LEN(AD53)-2)*10000,IF(LEFT(AD53,2)="30",RIGHT(AD53,LEN(AD53)-2)*1000,IF(LEFT(AD53,2)="20",RIGHT(AD53,LEN(AD53)-2)*100,IF(LEFT(AD53,2)="10",RIGHT(AD53,LEN(AD53)-2)*10,""))))))*1.1</f>
        <v>#VALUE!</v>
      </c>
      <c r="AE46" s="82"/>
      <c r="AF46" s="82"/>
      <c r="AG46" s="96"/>
    </row>
    <row r="47" spans="2:36" hidden="1" x14ac:dyDescent="0.15">
      <c r="B47" s="106" t="str">
        <f>IF(ISERROR(ROUND(B46,-1)),"",ROUND(B46,-1))</f>
        <v/>
      </c>
      <c r="C47" s="90"/>
      <c r="D47" s="90"/>
      <c r="E47" s="90"/>
      <c r="F47" s="90" t="str">
        <f>IF(ISERROR(ROUND(F46,-1)),"",ROUND(F46,-1))</f>
        <v/>
      </c>
      <c r="G47" s="90"/>
      <c r="H47" s="90"/>
      <c r="I47" s="90"/>
      <c r="J47" s="90" t="str">
        <f>IF(ISERROR(ROUND(J46,-1)),"",ROUND(J46,-1))</f>
        <v/>
      </c>
      <c r="K47" s="90"/>
      <c r="L47" s="90"/>
      <c r="M47" s="90"/>
      <c r="N47" s="90" t="str">
        <f>IF(ISERROR(ROUND(N46,-1)),"",ROUND(N46,-1))</f>
        <v/>
      </c>
      <c r="O47" s="90"/>
      <c r="P47" s="90"/>
      <c r="Q47" s="90"/>
      <c r="R47" s="90" t="str">
        <f>IF(ISERROR(ROUND(R46,-1)),"",ROUND(R46,-1))</f>
        <v/>
      </c>
      <c r="S47" s="90"/>
      <c r="T47" s="90"/>
      <c r="U47" s="90"/>
      <c r="V47" s="90" t="str">
        <f>IF(ISERROR(ROUND(V46,-1)),"",ROUND(V46,-1))</f>
        <v/>
      </c>
      <c r="W47" s="90"/>
      <c r="X47" s="90"/>
      <c r="Y47" s="90"/>
      <c r="Z47" s="90" t="str">
        <f>IF(ISERROR(ROUND(Z46,-1)),"",ROUND(Z46,-1))</f>
        <v/>
      </c>
      <c r="AA47" s="90"/>
      <c r="AB47" s="90"/>
      <c r="AC47" s="90"/>
      <c r="AD47" s="90" t="str">
        <f>IF(ISERROR(ROUND(AD46,-1)),"",ROUND(AD46,-1))</f>
        <v/>
      </c>
      <c r="AE47" s="90"/>
      <c r="AF47" s="90"/>
      <c r="AG47" s="107"/>
    </row>
    <row r="48" spans="2:36" ht="15" customHeight="1" x14ac:dyDescent="0.15">
      <c r="B48" s="86"/>
      <c r="C48" s="87"/>
      <c r="D48" s="87"/>
      <c r="E48" s="14"/>
      <c r="F48" s="86"/>
      <c r="G48" s="87"/>
      <c r="H48" s="87"/>
      <c r="I48" s="14"/>
      <c r="J48" s="86"/>
      <c r="K48" s="87"/>
      <c r="L48" s="87"/>
      <c r="M48" s="14"/>
      <c r="N48" s="86"/>
      <c r="O48" s="87"/>
      <c r="P48" s="87"/>
      <c r="Q48" s="14"/>
      <c r="R48" s="86"/>
      <c r="S48" s="87"/>
      <c r="T48" s="87"/>
      <c r="U48" s="14"/>
      <c r="V48" s="86"/>
      <c r="W48" s="87"/>
      <c r="X48" s="87"/>
      <c r="Y48" s="14"/>
      <c r="Z48" s="86"/>
      <c r="AA48" s="87"/>
      <c r="AB48" s="87"/>
      <c r="AC48" s="14"/>
      <c r="AD48" s="86"/>
      <c r="AE48" s="87"/>
      <c r="AF48" s="87"/>
      <c r="AG48" s="14"/>
      <c r="AJ48" s="3"/>
    </row>
    <row r="49" spans="2:36" ht="15.95" customHeight="1" x14ac:dyDescent="0.15">
      <c r="B49" s="13" t="s">
        <v>1</v>
      </c>
      <c r="C49" s="79">
        <f>D50*1.1</f>
        <v>0</v>
      </c>
      <c r="D49" s="79"/>
      <c r="E49" s="80"/>
      <c r="F49" s="13" t="s">
        <v>1</v>
      </c>
      <c r="G49" s="79">
        <f t="shared" ref="G49" si="73">H50*1.1</f>
        <v>0</v>
      </c>
      <c r="H49" s="79"/>
      <c r="I49" s="80"/>
      <c r="J49" s="13" t="s">
        <v>1</v>
      </c>
      <c r="K49" s="79">
        <f t="shared" ref="K49" si="74">L50*1.1</f>
        <v>0</v>
      </c>
      <c r="L49" s="79"/>
      <c r="M49" s="80"/>
      <c r="N49" s="13" t="s">
        <v>1</v>
      </c>
      <c r="O49" s="79">
        <f t="shared" ref="O49" si="75">P50*1.1</f>
        <v>0</v>
      </c>
      <c r="P49" s="79"/>
      <c r="Q49" s="80"/>
      <c r="R49" s="13" t="s">
        <v>1</v>
      </c>
      <c r="S49" s="79">
        <f t="shared" ref="S49" si="76">T50*1.1</f>
        <v>0</v>
      </c>
      <c r="T49" s="79"/>
      <c r="U49" s="80"/>
      <c r="V49" s="13" t="s">
        <v>1</v>
      </c>
      <c r="W49" s="79">
        <f t="shared" ref="W49" si="77">X50*1.1</f>
        <v>0</v>
      </c>
      <c r="X49" s="79"/>
      <c r="Y49" s="80"/>
      <c r="Z49" s="13" t="s">
        <v>1</v>
      </c>
      <c r="AA49" s="79">
        <f t="shared" ref="AA49" si="78">AB50*1.1</f>
        <v>0</v>
      </c>
      <c r="AB49" s="79"/>
      <c r="AC49" s="80"/>
      <c r="AD49" s="13" t="s">
        <v>1</v>
      </c>
      <c r="AE49" s="79">
        <f t="shared" ref="AE49" si="79">AF50*1.1</f>
        <v>0</v>
      </c>
      <c r="AF49" s="79"/>
      <c r="AG49" s="80"/>
      <c r="AJ49" s="5"/>
    </row>
    <row r="50" spans="2:36" ht="11.45" customHeight="1" x14ac:dyDescent="0.15">
      <c r="B50" s="77" t="s">
        <v>2</v>
      </c>
      <c r="C50" s="78"/>
      <c r="D50" s="75"/>
      <c r="E50" s="76"/>
      <c r="F50" s="77" t="s">
        <v>2</v>
      </c>
      <c r="G50" s="78"/>
      <c r="H50" s="75"/>
      <c r="I50" s="76"/>
      <c r="J50" s="77" t="s">
        <v>2</v>
      </c>
      <c r="K50" s="78"/>
      <c r="L50" s="75"/>
      <c r="M50" s="76"/>
      <c r="N50" s="77" t="s">
        <v>2</v>
      </c>
      <c r="O50" s="78"/>
      <c r="P50" s="75"/>
      <c r="Q50" s="76"/>
      <c r="R50" s="77" t="s">
        <v>2</v>
      </c>
      <c r="S50" s="78"/>
      <c r="T50" s="75"/>
      <c r="U50" s="76"/>
      <c r="V50" s="77" t="s">
        <v>2</v>
      </c>
      <c r="W50" s="78"/>
      <c r="X50" s="75"/>
      <c r="Y50" s="76"/>
      <c r="Z50" s="77" t="s">
        <v>2</v>
      </c>
      <c r="AA50" s="78"/>
      <c r="AB50" s="75"/>
      <c r="AC50" s="76"/>
      <c r="AD50" s="77" t="s">
        <v>2</v>
      </c>
      <c r="AE50" s="78"/>
      <c r="AF50" s="75"/>
      <c r="AG50" s="76"/>
      <c r="AJ50" s="5"/>
    </row>
    <row r="51" spans="2:36" ht="11.25" customHeight="1" x14ac:dyDescent="0.15">
      <c r="B51" s="6"/>
      <c r="C51" s="7"/>
      <c r="D51" s="7"/>
      <c r="E51" s="8"/>
      <c r="F51" s="6"/>
      <c r="G51" s="7"/>
      <c r="H51" s="7"/>
      <c r="I51" s="8"/>
      <c r="J51" s="6"/>
      <c r="K51" s="7"/>
      <c r="L51" s="7"/>
      <c r="M51" s="8"/>
      <c r="N51" s="6"/>
      <c r="O51" s="7"/>
      <c r="P51" s="7"/>
      <c r="Q51" s="8"/>
      <c r="R51" s="6"/>
      <c r="S51" s="7"/>
      <c r="T51" s="7"/>
      <c r="U51" s="8"/>
      <c r="V51" s="6"/>
      <c r="W51" s="7"/>
      <c r="X51" s="7"/>
      <c r="Y51" s="8"/>
      <c r="Z51" s="6"/>
      <c r="AA51" s="7"/>
      <c r="AB51" s="7"/>
      <c r="AC51" s="8"/>
      <c r="AD51" s="6"/>
      <c r="AE51" s="7"/>
      <c r="AF51" s="7"/>
      <c r="AG51" s="8"/>
      <c r="AJ51" s="5"/>
    </row>
    <row r="52" spans="2:36" ht="14.25" customHeight="1" x14ac:dyDescent="0.15">
      <c r="B52" s="67" t="str">
        <f>IF(B47="","",IF(RIGHT(B47,5)="00000","50"&amp;LEFT(B47,LEN(B47)-5),IF(RIGHT(B47,4)="0000","40"&amp;LEFT(B47,LEN(B47)-4),IF(RIGHT(B47,3)="000","30"&amp;LEFT(B47,LEN(B47)-3),IF(RIGHT(B47,2)="00","20"&amp;LEFT(B47,LEN(B47)-2),IF(RIGHT(B47,1)="0","10"&amp;LEFT(B47,LEN(B47)-1),"error"))))))</f>
        <v/>
      </c>
      <c r="C52" s="68"/>
      <c r="D52" s="68"/>
      <c r="E52" s="9"/>
      <c r="F52" s="67" t="str">
        <f>IF(F47="","",IF(RIGHT(F47,5)="00000","50"&amp;LEFT(F47,LEN(F47)-5),IF(RIGHT(F47,4)="0000","40"&amp;LEFT(F47,LEN(F47)-4),IF(RIGHT(F47,3)="000","30"&amp;LEFT(F47,LEN(F47)-3),IF(RIGHT(F47,2)="00","20"&amp;LEFT(F47,LEN(F47)-2),IF(RIGHT(F47,1)="0","10"&amp;LEFT(F47,LEN(F47)-1),"error"))))))</f>
        <v/>
      </c>
      <c r="G52" s="68"/>
      <c r="H52" s="68"/>
      <c r="I52" s="9"/>
      <c r="J52" s="67" t="str">
        <f t="shared" ref="J52" si="80">IF(J47="","",IF(RIGHT(J47,5)="00000","50"&amp;LEFT(J47,LEN(J47)-5),IF(RIGHT(J47,4)="0000","40"&amp;LEFT(J47,LEN(J47)-4),IF(RIGHT(J47,3)="000","30"&amp;LEFT(J47,LEN(J47)-3),IF(RIGHT(J47,2)="00","20"&amp;LEFT(J47,LEN(J47)-2),IF(RIGHT(J47,1)="0","10"&amp;LEFT(J47,LEN(J47)-1),"error"))))))</f>
        <v/>
      </c>
      <c r="K52" s="68"/>
      <c r="L52" s="68"/>
      <c r="M52" s="9"/>
      <c r="N52" s="67" t="str">
        <f t="shared" ref="N52" si="81">IF(N47="","",IF(RIGHT(N47,5)="00000","50"&amp;LEFT(N47,LEN(N47)-5),IF(RIGHT(N47,4)="0000","40"&amp;LEFT(N47,LEN(N47)-4),IF(RIGHT(N47,3)="000","30"&amp;LEFT(N47,LEN(N47)-3),IF(RIGHT(N47,2)="00","20"&amp;LEFT(N47,LEN(N47)-2),IF(RIGHT(N47,1)="0","10"&amp;LEFT(N47,LEN(N47)-1),"error"))))))</f>
        <v/>
      </c>
      <c r="O52" s="68"/>
      <c r="P52" s="68"/>
      <c r="Q52" s="9"/>
      <c r="R52" s="67" t="str">
        <f t="shared" ref="R52" si="82">IF(R47="","",IF(RIGHT(R47,5)="00000","50"&amp;LEFT(R47,LEN(R47)-5),IF(RIGHT(R47,4)="0000","40"&amp;LEFT(R47,LEN(R47)-4),IF(RIGHT(R47,3)="000","30"&amp;LEFT(R47,LEN(R47)-3),IF(RIGHT(R47,2)="00","20"&amp;LEFT(R47,LEN(R47)-2),IF(RIGHT(R47,1)="0","10"&amp;LEFT(R47,LEN(R47)-1),"error"))))))</f>
        <v/>
      </c>
      <c r="S52" s="68"/>
      <c r="T52" s="68"/>
      <c r="U52" s="9"/>
      <c r="V52" s="67" t="str">
        <f t="shared" ref="V52" si="83">IF(V47="","",IF(RIGHT(V47,5)="00000","50"&amp;LEFT(V47,LEN(V47)-5),IF(RIGHT(V47,4)="0000","40"&amp;LEFT(V47,LEN(V47)-4),IF(RIGHT(V47,3)="000","30"&amp;LEFT(V47,LEN(V47)-3),IF(RIGHT(V47,2)="00","20"&amp;LEFT(V47,LEN(V47)-2),IF(RIGHT(V47,1)="0","10"&amp;LEFT(V47,LEN(V47)-1),"error"))))))</f>
        <v/>
      </c>
      <c r="W52" s="68"/>
      <c r="X52" s="68"/>
      <c r="Y52" s="9"/>
      <c r="Z52" s="67" t="str">
        <f t="shared" ref="Z52" si="84">IF(Z47="","",IF(RIGHT(Z47,5)="00000","50"&amp;LEFT(Z47,LEN(Z47)-5),IF(RIGHT(Z47,4)="0000","40"&amp;LEFT(Z47,LEN(Z47)-4),IF(RIGHT(Z47,3)="000","30"&amp;LEFT(Z47,LEN(Z47)-3),IF(RIGHT(Z47,2)="00","20"&amp;LEFT(Z47,LEN(Z47)-2),IF(RIGHT(Z47,1)="0","10"&amp;LEFT(Z47,LEN(Z47)-1),"error"))))))</f>
        <v/>
      </c>
      <c r="AA52" s="68"/>
      <c r="AB52" s="68"/>
      <c r="AC52" s="9"/>
      <c r="AD52" s="67" t="str">
        <f t="shared" ref="AD52" si="85">IF(AD47="","",IF(RIGHT(AD47,5)="00000","50"&amp;LEFT(AD47,LEN(AD47)-5),IF(RIGHT(AD47,4)="0000","40"&amp;LEFT(AD47,LEN(AD47)-4),IF(RIGHT(AD47,3)="000","30"&amp;LEFT(AD47,LEN(AD47)-3),IF(RIGHT(AD47,2)="00","20"&amp;LEFT(AD47,LEN(AD47)-2),IF(RIGHT(AD47,1)="0","10"&amp;LEFT(AD47,LEN(AD47)-1),"error"))))))</f>
        <v/>
      </c>
      <c r="AE52" s="68"/>
      <c r="AF52" s="68"/>
      <c r="AG52" s="9"/>
      <c r="AJ52" s="5"/>
    </row>
    <row r="53" spans="2:36" ht="14.25" customHeight="1" x14ac:dyDescent="0.15">
      <c r="B53" s="69"/>
      <c r="C53" s="70"/>
      <c r="D53" s="70"/>
      <c r="E53" s="10"/>
      <c r="F53" s="69"/>
      <c r="G53" s="70"/>
      <c r="H53" s="70"/>
      <c r="I53" s="10"/>
      <c r="J53" s="69"/>
      <c r="K53" s="70"/>
      <c r="L53" s="70"/>
      <c r="M53" s="10"/>
      <c r="N53" s="69"/>
      <c r="O53" s="70"/>
      <c r="P53" s="70"/>
      <c r="Q53" s="10"/>
      <c r="R53" s="69"/>
      <c r="S53" s="70"/>
      <c r="T53" s="70"/>
      <c r="U53" s="10"/>
      <c r="V53" s="69"/>
      <c r="W53" s="70"/>
      <c r="X53" s="70"/>
      <c r="Y53" s="10"/>
      <c r="Z53" s="69"/>
      <c r="AA53" s="70"/>
      <c r="AB53" s="70"/>
      <c r="AC53" s="10"/>
      <c r="AD53" s="69"/>
      <c r="AE53" s="70"/>
      <c r="AF53" s="70"/>
      <c r="AG53" s="10"/>
      <c r="AI53" s="2"/>
    </row>
    <row r="54" spans="2:36" ht="24.75" customHeight="1" x14ac:dyDescent="0.15">
      <c r="B54" s="98"/>
      <c r="C54" s="99"/>
      <c r="D54" s="99"/>
      <c r="E54" s="103"/>
      <c r="F54" s="98"/>
      <c r="G54" s="99"/>
      <c r="H54" s="99"/>
      <c r="I54" s="103"/>
      <c r="J54" s="98"/>
      <c r="K54" s="99"/>
      <c r="L54" s="99"/>
      <c r="M54" s="103"/>
      <c r="N54" s="98"/>
      <c r="O54" s="99"/>
      <c r="P54" s="99"/>
      <c r="Q54" s="103"/>
      <c r="R54" s="98"/>
      <c r="S54" s="99"/>
      <c r="T54" s="99"/>
      <c r="U54" s="103"/>
      <c r="V54" s="98"/>
      <c r="W54" s="99"/>
      <c r="X54" s="99"/>
      <c r="Y54" s="103"/>
      <c r="Z54" s="98"/>
      <c r="AA54" s="99"/>
      <c r="AB54" s="99"/>
      <c r="AC54" s="103"/>
      <c r="AD54" s="98"/>
      <c r="AE54" s="99"/>
      <c r="AF54" s="99"/>
      <c r="AG54" s="103"/>
      <c r="AI54" s="4"/>
    </row>
  </sheetData>
  <mergeCells count="432">
    <mergeCell ref="B53:D53"/>
    <mergeCell ref="F53:H53"/>
    <mergeCell ref="J53:L53"/>
    <mergeCell ref="N53:P53"/>
    <mergeCell ref="R53:T53"/>
    <mergeCell ref="V53:X53"/>
    <mergeCell ref="Z53:AB53"/>
    <mergeCell ref="AD53:AF53"/>
    <mergeCell ref="B54:E54"/>
    <mergeCell ref="F54:I54"/>
    <mergeCell ref="J54:M54"/>
    <mergeCell ref="N54:Q54"/>
    <mergeCell ref="R54:U54"/>
    <mergeCell ref="V54:Y54"/>
    <mergeCell ref="Z54:AC54"/>
    <mergeCell ref="AD54:AG54"/>
    <mergeCell ref="T50:U50"/>
    <mergeCell ref="V50:W50"/>
    <mergeCell ref="X50:Y50"/>
    <mergeCell ref="Z50:AA50"/>
    <mergeCell ref="AB50:AC50"/>
    <mergeCell ref="AD50:AE50"/>
    <mergeCell ref="AF50:AG50"/>
    <mergeCell ref="B52:D52"/>
    <mergeCell ref="F52:H52"/>
    <mergeCell ref="J52:L52"/>
    <mergeCell ref="N52:P52"/>
    <mergeCell ref="R52:T52"/>
    <mergeCell ref="V52:X52"/>
    <mergeCell ref="Z52:AB52"/>
    <mergeCell ref="AD52:AF52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B48:D48"/>
    <mergeCell ref="F48:H48"/>
    <mergeCell ref="J48:L48"/>
    <mergeCell ref="N48:P48"/>
    <mergeCell ref="R48:T48"/>
    <mergeCell ref="V48:X48"/>
    <mergeCell ref="Z48:AB48"/>
    <mergeCell ref="AD48:AF48"/>
    <mergeCell ref="C49:E49"/>
    <mergeCell ref="G49:I49"/>
    <mergeCell ref="K49:M49"/>
    <mergeCell ref="O49:Q49"/>
    <mergeCell ref="S49:U49"/>
    <mergeCell ref="W49:Y49"/>
    <mergeCell ref="AA49:AC49"/>
    <mergeCell ref="AE49:AG49"/>
    <mergeCell ref="B46:E46"/>
    <mergeCell ref="F46:I46"/>
    <mergeCell ref="J46:M46"/>
    <mergeCell ref="N46:Q46"/>
    <mergeCell ref="R46:U46"/>
    <mergeCell ref="V46:Y46"/>
    <mergeCell ref="Z46:AC46"/>
    <mergeCell ref="AD46:AG46"/>
    <mergeCell ref="B47:E47"/>
    <mergeCell ref="F47:I47"/>
    <mergeCell ref="J47:M47"/>
    <mergeCell ref="N47:Q47"/>
    <mergeCell ref="R47:U47"/>
    <mergeCell ref="V47:Y47"/>
    <mergeCell ref="Z47:AC47"/>
    <mergeCell ref="AD47:AG47"/>
    <mergeCell ref="B44:D44"/>
    <mergeCell ref="F44:H44"/>
    <mergeCell ref="R45:U45"/>
    <mergeCell ref="V45:Y45"/>
    <mergeCell ref="Z45:AC45"/>
    <mergeCell ref="AD45:AG45"/>
    <mergeCell ref="B45:E45"/>
    <mergeCell ref="F45:I45"/>
    <mergeCell ref="J45:M45"/>
    <mergeCell ref="N45:Q45"/>
    <mergeCell ref="J44:L44"/>
    <mergeCell ref="N44:P44"/>
    <mergeCell ref="R44:T44"/>
    <mergeCell ref="V44:X44"/>
    <mergeCell ref="Z44:AB44"/>
    <mergeCell ref="AD44:AF44"/>
    <mergeCell ref="AE40:AG40"/>
    <mergeCell ref="AD38:AG38"/>
    <mergeCell ref="B39:D39"/>
    <mergeCell ref="F39:H39"/>
    <mergeCell ref="J39:L39"/>
    <mergeCell ref="N39:P39"/>
    <mergeCell ref="R39:T39"/>
    <mergeCell ref="V39:X39"/>
    <mergeCell ref="R43:T43"/>
    <mergeCell ref="V43:X43"/>
    <mergeCell ref="Z43:AB43"/>
    <mergeCell ref="AD43:AF43"/>
    <mergeCell ref="R38:U38"/>
    <mergeCell ref="V38:Y38"/>
    <mergeCell ref="Z38:AC38"/>
    <mergeCell ref="Z39:AB39"/>
    <mergeCell ref="D41:E41"/>
    <mergeCell ref="F41:G41"/>
    <mergeCell ref="H41:I41"/>
    <mergeCell ref="C40:E40"/>
    <mergeCell ref="G40:I40"/>
    <mergeCell ref="K40:M40"/>
    <mergeCell ref="O40:Q40"/>
    <mergeCell ref="S40:U40"/>
    <mergeCell ref="B34:D34"/>
    <mergeCell ref="F34:H34"/>
    <mergeCell ref="J34:L34"/>
    <mergeCell ref="N34:P34"/>
    <mergeCell ref="R34:T34"/>
    <mergeCell ref="V34:X34"/>
    <mergeCell ref="Z34:AB34"/>
    <mergeCell ref="B36:E36"/>
    <mergeCell ref="F36:I36"/>
    <mergeCell ref="J36:M36"/>
    <mergeCell ref="N36:Q36"/>
    <mergeCell ref="R36:U36"/>
    <mergeCell ref="V36:Y36"/>
    <mergeCell ref="Z36:AC36"/>
    <mergeCell ref="B35:D35"/>
    <mergeCell ref="F35:H35"/>
    <mergeCell ref="J35:L35"/>
    <mergeCell ref="N35:P35"/>
    <mergeCell ref="R35:T35"/>
    <mergeCell ref="V35:X35"/>
    <mergeCell ref="Z35:AB35"/>
    <mergeCell ref="AD34:AF34"/>
    <mergeCell ref="AD37:AG37"/>
    <mergeCell ref="V32:W32"/>
    <mergeCell ref="X32:Y32"/>
    <mergeCell ref="V28:Y28"/>
    <mergeCell ref="Z27:AC27"/>
    <mergeCell ref="AD36:AG36"/>
    <mergeCell ref="V37:Y37"/>
    <mergeCell ref="Z37:AC37"/>
    <mergeCell ref="AD32:AE32"/>
    <mergeCell ref="AD35:AF35"/>
    <mergeCell ref="AA31:AC31"/>
    <mergeCell ref="AE31:AG31"/>
    <mergeCell ref="Z32:AA32"/>
    <mergeCell ref="AB32:AC32"/>
    <mergeCell ref="AF32:AG32"/>
    <mergeCell ref="AD29:AG29"/>
    <mergeCell ref="R25:T25"/>
    <mergeCell ref="V25:X25"/>
    <mergeCell ref="C22:E22"/>
    <mergeCell ref="G22:I22"/>
    <mergeCell ref="K22:M22"/>
    <mergeCell ref="O22:Q22"/>
    <mergeCell ref="S22:U22"/>
    <mergeCell ref="W22:Y22"/>
    <mergeCell ref="B21:D21"/>
    <mergeCell ref="F21:H21"/>
    <mergeCell ref="B23:C23"/>
    <mergeCell ref="D23:E23"/>
    <mergeCell ref="F23:G23"/>
    <mergeCell ref="H23:I23"/>
    <mergeCell ref="J23:K23"/>
    <mergeCell ref="L23:M23"/>
    <mergeCell ref="Z9:AC9"/>
    <mergeCell ref="AD9:AG9"/>
    <mergeCell ref="Z11:AC11"/>
    <mergeCell ref="AD11:AG11"/>
    <mergeCell ref="Z8:AB8"/>
    <mergeCell ref="AD8:AF8"/>
    <mergeCell ref="V16:X16"/>
    <mergeCell ref="Z16:AB16"/>
    <mergeCell ref="AD16:AF16"/>
    <mergeCell ref="V11:Y11"/>
    <mergeCell ref="Z12:AB12"/>
    <mergeCell ref="AD12:AF12"/>
    <mergeCell ref="R20:U20"/>
    <mergeCell ref="B10:E10"/>
    <mergeCell ref="F10:I10"/>
    <mergeCell ref="B9:E9"/>
    <mergeCell ref="F9:I9"/>
    <mergeCell ref="J9:M9"/>
    <mergeCell ref="N9:Q9"/>
    <mergeCell ref="R9:U9"/>
    <mergeCell ref="V9:Y9"/>
    <mergeCell ref="B11:E11"/>
    <mergeCell ref="F11:I11"/>
    <mergeCell ref="J11:M11"/>
    <mergeCell ref="V20:Y20"/>
    <mergeCell ref="B20:E20"/>
    <mergeCell ref="B18:E18"/>
    <mergeCell ref="F18:I18"/>
    <mergeCell ref="J18:M18"/>
    <mergeCell ref="N18:Q18"/>
    <mergeCell ref="R18:U18"/>
    <mergeCell ref="V18:Y18"/>
    <mergeCell ref="C13:E13"/>
    <mergeCell ref="G13:I13"/>
    <mergeCell ref="K13:M13"/>
    <mergeCell ref="O13:Q13"/>
    <mergeCell ref="R27:U27"/>
    <mergeCell ref="V27:Y27"/>
    <mergeCell ref="J37:M37"/>
    <mergeCell ref="R41:S41"/>
    <mergeCell ref="T41:U41"/>
    <mergeCell ref="V41:W41"/>
    <mergeCell ref="X41:Y41"/>
    <mergeCell ref="Z41:AA41"/>
    <mergeCell ref="AB41:AC41"/>
    <mergeCell ref="W40:Y40"/>
    <mergeCell ref="AA40:AC40"/>
    <mergeCell ref="N38:Q38"/>
    <mergeCell ref="P32:Q32"/>
    <mergeCell ref="Z5:AA5"/>
    <mergeCell ref="AB5:AC5"/>
    <mergeCell ref="AD5:AE5"/>
    <mergeCell ref="AF5:AG5"/>
    <mergeCell ref="Z7:AB7"/>
    <mergeCell ref="AD7:AF7"/>
    <mergeCell ref="Z2:AC2"/>
    <mergeCell ref="AD41:AE41"/>
    <mergeCell ref="AF41:AG41"/>
    <mergeCell ref="AD39:AF39"/>
    <mergeCell ref="Z28:AC28"/>
    <mergeCell ref="AD28:AG28"/>
    <mergeCell ref="Z10:AC10"/>
    <mergeCell ref="AD10:AG10"/>
    <mergeCell ref="Z19:AC19"/>
    <mergeCell ref="AD19:AG19"/>
    <mergeCell ref="AD27:AG27"/>
    <mergeCell ref="AD20:AG20"/>
    <mergeCell ref="Z21:AB21"/>
    <mergeCell ref="AD21:AF21"/>
    <mergeCell ref="AD18:AG18"/>
    <mergeCell ref="AA13:AC13"/>
    <mergeCell ref="AE13:AG13"/>
    <mergeCell ref="Z14:AA14"/>
    <mergeCell ref="AA22:AC22"/>
    <mergeCell ref="AE22:AG22"/>
    <mergeCell ref="Z18:AC18"/>
    <mergeCell ref="J10:M10"/>
    <mergeCell ref="N10:Q10"/>
    <mergeCell ref="R10:U10"/>
    <mergeCell ref="V10:Y10"/>
    <mergeCell ref="Z20:AC20"/>
    <mergeCell ref="N11:Q11"/>
    <mergeCell ref="J19:M19"/>
    <mergeCell ref="N19:Q19"/>
    <mergeCell ref="R19:U19"/>
    <mergeCell ref="V19:Y19"/>
    <mergeCell ref="J21:L21"/>
    <mergeCell ref="N21:P21"/>
    <mergeCell ref="R21:T21"/>
    <mergeCell ref="V21:X21"/>
    <mergeCell ref="AB14:AC14"/>
    <mergeCell ref="AD14:AE14"/>
    <mergeCell ref="AF14:AG14"/>
    <mergeCell ref="V17:X17"/>
    <mergeCell ref="Z17:AB17"/>
    <mergeCell ref="AD17:AF17"/>
    <mergeCell ref="J20:M20"/>
    <mergeCell ref="V26:X26"/>
    <mergeCell ref="Z26:AB26"/>
    <mergeCell ref="AD26:AF26"/>
    <mergeCell ref="V23:W23"/>
    <mergeCell ref="B27:E27"/>
    <mergeCell ref="B30:D30"/>
    <mergeCell ref="F30:H30"/>
    <mergeCell ref="J30:L30"/>
    <mergeCell ref="N30:P30"/>
    <mergeCell ref="R30:T30"/>
    <mergeCell ref="V30:X30"/>
    <mergeCell ref="Z30:AB30"/>
    <mergeCell ref="AD30:AF30"/>
    <mergeCell ref="B29:E29"/>
    <mergeCell ref="F29:I29"/>
    <mergeCell ref="J29:M29"/>
    <mergeCell ref="N29:Q29"/>
    <mergeCell ref="R29:U29"/>
    <mergeCell ref="V29:Y29"/>
    <mergeCell ref="Z29:AC29"/>
    <mergeCell ref="X23:Y23"/>
    <mergeCell ref="Z23:AA23"/>
    <mergeCell ref="AD23:AE23"/>
    <mergeCell ref="AF23:AG23"/>
    <mergeCell ref="AB23:AC23"/>
    <mergeCell ref="N23:O23"/>
    <mergeCell ref="P23:Q23"/>
    <mergeCell ref="Z25:AB25"/>
    <mergeCell ref="AD25:AF25"/>
    <mergeCell ref="S31:U31"/>
    <mergeCell ref="W31:Y31"/>
    <mergeCell ref="F7:H7"/>
    <mergeCell ref="J7:L7"/>
    <mergeCell ref="N7:P7"/>
    <mergeCell ref="R7:T7"/>
    <mergeCell ref="V7:X7"/>
    <mergeCell ref="R11:U11"/>
    <mergeCell ref="N26:P26"/>
    <mergeCell ref="R26:T26"/>
    <mergeCell ref="R23:S23"/>
    <mergeCell ref="T23:U23"/>
    <mergeCell ref="F20:I20"/>
    <mergeCell ref="J12:L12"/>
    <mergeCell ref="N12:P12"/>
    <mergeCell ref="R12:T12"/>
    <mergeCell ref="V12:X12"/>
    <mergeCell ref="J27:M27"/>
    <mergeCell ref="F27:I27"/>
    <mergeCell ref="S13:U13"/>
    <mergeCell ref="W13:Y13"/>
    <mergeCell ref="N14:O14"/>
    <mergeCell ref="P14:Q14"/>
    <mergeCell ref="R14:S14"/>
    <mergeCell ref="T14:U14"/>
    <mergeCell ref="V14:W14"/>
    <mergeCell ref="X14:Y14"/>
    <mergeCell ref="F14:G14"/>
    <mergeCell ref="H14:I14"/>
    <mergeCell ref="J14:K14"/>
    <mergeCell ref="L14:M14"/>
    <mergeCell ref="N8:P8"/>
    <mergeCell ref="R8:T8"/>
    <mergeCell ref="V8:X8"/>
    <mergeCell ref="N5:O5"/>
    <mergeCell ref="P5:Q5"/>
    <mergeCell ref="R5:S5"/>
    <mergeCell ref="T5:U5"/>
    <mergeCell ref="V5:W5"/>
    <mergeCell ref="B7:D7"/>
    <mergeCell ref="B5:C5"/>
    <mergeCell ref="AD2:AG2"/>
    <mergeCell ref="F1:I1"/>
    <mergeCell ref="B1:E1"/>
    <mergeCell ref="B2:E2"/>
    <mergeCell ref="F2:I2"/>
    <mergeCell ref="J2:M2"/>
    <mergeCell ref="N2:Q2"/>
    <mergeCell ref="R2:U2"/>
    <mergeCell ref="V2:Y2"/>
    <mergeCell ref="J1:M1"/>
    <mergeCell ref="N1:Q1"/>
    <mergeCell ref="R1:U1"/>
    <mergeCell ref="V1:Y1"/>
    <mergeCell ref="Z1:AC1"/>
    <mergeCell ref="AD1:AG1"/>
    <mergeCell ref="B43:D43"/>
    <mergeCell ref="F43:H43"/>
    <mergeCell ref="J43:L43"/>
    <mergeCell ref="N43:P43"/>
    <mergeCell ref="J41:K41"/>
    <mergeCell ref="L41:M41"/>
    <mergeCell ref="N41:O41"/>
    <mergeCell ref="P41:Q41"/>
    <mergeCell ref="D5:E5"/>
    <mergeCell ref="F5:G5"/>
    <mergeCell ref="H5:I5"/>
    <mergeCell ref="J5:K5"/>
    <mergeCell ref="L5:M5"/>
    <mergeCell ref="B41:C41"/>
    <mergeCell ref="B38:E38"/>
    <mergeCell ref="F38:I38"/>
    <mergeCell ref="J38:M38"/>
    <mergeCell ref="B26:D26"/>
    <mergeCell ref="F26:H26"/>
    <mergeCell ref="J26:L26"/>
    <mergeCell ref="B8:D8"/>
    <mergeCell ref="F8:H8"/>
    <mergeCell ref="J8:L8"/>
    <mergeCell ref="B14:C14"/>
    <mergeCell ref="D14:E14"/>
    <mergeCell ref="B12:D12"/>
    <mergeCell ref="B16:D16"/>
    <mergeCell ref="B17:D17"/>
    <mergeCell ref="F12:H12"/>
    <mergeCell ref="F16:H16"/>
    <mergeCell ref="Z3:AB3"/>
    <mergeCell ref="AD3:AF3"/>
    <mergeCell ref="C4:E4"/>
    <mergeCell ref="G4:I4"/>
    <mergeCell ref="K4:M4"/>
    <mergeCell ref="O4:Q4"/>
    <mergeCell ref="S4:U4"/>
    <mergeCell ref="W4:Y4"/>
    <mergeCell ref="AA4:AC4"/>
    <mergeCell ref="AE4:AG4"/>
    <mergeCell ref="B3:D3"/>
    <mergeCell ref="F3:H3"/>
    <mergeCell ref="J3:L3"/>
    <mergeCell ref="N3:P3"/>
    <mergeCell ref="R3:T3"/>
    <mergeCell ref="V3:X3"/>
    <mergeCell ref="X5:Y5"/>
    <mergeCell ref="J16:L16"/>
    <mergeCell ref="G31:I31"/>
    <mergeCell ref="K31:M31"/>
    <mergeCell ref="O31:Q31"/>
    <mergeCell ref="B32:C32"/>
    <mergeCell ref="D32:E32"/>
    <mergeCell ref="B19:E19"/>
    <mergeCell ref="F19:I19"/>
    <mergeCell ref="N27:Q27"/>
    <mergeCell ref="N20:Q20"/>
    <mergeCell ref="F25:H25"/>
    <mergeCell ref="J25:L25"/>
    <mergeCell ref="N25:P25"/>
    <mergeCell ref="N16:P16"/>
    <mergeCell ref="R16:T16"/>
    <mergeCell ref="F17:H17"/>
    <mergeCell ref="J17:L17"/>
    <mergeCell ref="N17:P17"/>
    <mergeCell ref="R17:T17"/>
    <mergeCell ref="B25:D25"/>
    <mergeCell ref="R37:U37"/>
    <mergeCell ref="N37:Q37"/>
    <mergeCell ref="F37:I37"/>
    <mergeCell ref="B37:E37"/>
    <mergeCell ref="R28:U28"/>
    <mergeCell ref="N28:Q28"/>
    <mergeCell ref="J28:M28"/>
    <mergeCell ref="T32:U32"/>
    <mergeCell ref="R32:S32"/>
    <mergeCell ref="F28:I28"/>
    <mergeCell ref="B28:E28"/>
    <mergeCell ref="F32:G32"/>
    <mergeCell ref="H32:I32"/>
    <mergeCell ref="J32:K32"/>
    <mergeCell ref="L32:M32"/>
    <mergeCell ref="N32:O32"/>
    <mergeCell ref="C31:E31"/>
  </mergeCells>
  <phoneticPr fontId="2"/>
  <conditionalFormatting sqref="B2:AG240">
    <cfRule type="expression" dxfId="603" priority="1">
      <formula>B2="K18"</formula>
    </cfRule>
    <cfRule type="expression" dxfId="602" priority="2">
      <formula>B2="K18WG"</formula>
    </cfRule>
    <cfRule type="expression" dxfId="601" priority="3">
      <formula>B2="K18PG"</formula>
    </cfRule>
    <cfRule type="expression" dxfId="600" priority="4">
      <formula>OR(B2="Pt900/K18",B2="Pt900/K18/K18PG")</formula>
    </cfRule>
  </conditionalFormatting>
  <conditionalFormatting sqref="E2:AG240">
    <cfRule type="expression" dxfId="599" priority="5">
      <formula>B2="K18"</formula>
    </cfRule>
  </conditionalFormatting>
  <pageMargins left="0.7" right="0.7" top="0.75" bottom="0.75" header="0.3" footer="0.3"/>
  <pageSetup paperSize="9" orientation="landscape" horizontalDpi="360" verticalDpi="360" r:id="rId1"/>
  <headerFooter>
    <oddFooter>&amp;R&amp;A&amp;P</oddFooter>
  </headerFooter>
  <colBreaks count="1" manualBreakCount="1">
    <brk id="3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55"/>
  <sheetViews>
    <sheetView tabSelected="1" zoomScale="115" zoomScaleNormal="115" workbookViewId="0">
      <selection activeCell="K39" sqref="K39"/>
    </sheetView>
  </sheetViews>
  <sheetFormatPr defaultColWidth="9" defaultRowHeight="13.5" x14ac:dyDescent="0.15"/>
  <cols>
    <col min="1" max="1" width="9" style="1"/>
    <col min="2" max="2" width="7.625" style="1" customWidth="1"/>
    <col min="3" max="3" width="0.625" style="1" customWidth="1"/>
    <col min="4" max="4" width="3.25" style="12" customWidth="1"/>
    <col min="5" max="6" width="2.5" style="12" customWidth="1"/>
    <col min="7" max="8" width="4.75" style="11" customWidth="1"/>
    <col min="9" max="9" width="4.75" style="33" customWidth="1"/>
    <col min="10" max="10" width="12" style="33" bestFit="1" customWidth="1"/>
    <col min="11" max="13" width="4.75" style="33" customWidth="1"/>
    <col min="14" max="14" width="4.75" style="1" customWidth="1"/>
    <col min="15" max="15" width="3.25" style="34" customWidth="1"/>
    <col min="16" max="16" width="2.5" style="34" customWidth="1"/>
    <col min="17" max="17" width="2.5" style="12" customWidth="1"/>
    <col min="18" max="18" width="4.75" style="11" customWidth="1"/>
    <col min="19" max="16384" width="9" style="1"/>
  </cols>
  <sheetData>
    <row r="2" spans="2:18" x14ac:dyDescent="0.15">
      <c r="B2" s="1" t="s">
        <v>50</v>
      </c>
    </row>
    <row r="3" spans="2:18" x14ac:dyDescent="0.15">
      <c r="D3" s="86" t="s">
        <v>16</v>
      </c>
      <c r="E3" s="87"/>
      <c r="F3" s="87"/>
      <c r="G3" s="14">
        <v>160</v>
      </c>
    </row>
    <row r="4" spans="2:18" ht="14.25" x14ac:dyDescent="0.15">
      <c r="D4" s="13" t="s">
        <v>1</v>
      </c>
      <c r="E4" s="79">
        <f t="shared" ref="E4" si="0">F5*1.1</f>
        <v>319000</v>
      </c>
      <c r="F4" s="79"/>
      <c r="G4" s="80"/>
    </row>
    <row r="5" spans="2:18" x14ac:dyDescent="0.15">
      <c r="D5" s="77" t="s">
        <v>2</v>
      </c>
      <c r="E5" s="78"/>
      <c r="F5" s="75">
        <v>290000</v>
      </c>
      <c r="G5" s="76"/>
    </row>
    <row r="6" spans="2:18" x14ac:dyDescent="0.15">
      <c r="D6" s="6"/>
      <c r="E6" s="7"/>
      <c r="F6" s="7"/>
      <c r="G6" s="8"/>
    </row>
    <row r="7" spans="2:18" x14ac:dyDescent="0.15">
      <c r="D7" s="67">
        <v>104224</v>
      </c>
      <c r="E7" s="68"/>
      <c r="F7" s="68"/>
      <c r="G7" s="9"/>
    </row>
    <row r="8" spans="2:18" x14ac:dyDescent="0.15">
      <c r="D8" s="69">
        <v>20384</v>
      </c>
      <c r="E8" s="70"/>
      <c r="F8" s="70"/>
      <c r="G8" s="10" t="s">
        <v>22</v>
      </c>
    </row>
    <row r="9" spans="2:18" x14ac:dyDescent="0.15">
      <c r="D9" s="100" t="s">
        <v>21</v>
      </c>
      <c r="E9" s="101"/>
      <c r="F9" s="101"/>
      <c r="G9" s="102"/>
    </row>
    <row r="11" spans="2:18" ht="13.5" customHeight="1" x14ac:dyDescent="0.15">
      <c r="B11" s="1" t="s">
        <v>41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O11" s="24"/>
      <c r="P11" s="24"/>
      <c r="Q11" s="24"/>
      <c r="R11" s="24"/>
    </row>
    <row r="12" spans="2:18" ht="15" customHeight="1" x14ac:dyDescent="0.15">
      <c r="B12" s="29" t="s">
        <v>43</v>
      </c>
      <c r="C12" s="28"/>
      <c r="D12" s="86" t="s">
        <v>16</v>
      </c>
      <c r="E12" s="87"/>
      <c r="F12" s="87"/>
      <c r="G12" s="14">
        <v>160</v>
      </c>
      <c r="H12" s="1">
        <v>4</v>
      </c>
      <c r="I12" s="35"/>
      <c r="J12" s="1">
        <v>5</v>
      </c>
      <c r="K12" s="1"/>
      <c r="L12" s="1"/>
      <c r="M12" s="1"/>
      <c r="O12" s="1"/>
      <c r="P12" s="1"/>
      <c r="Q12" s="1"/>
      <c r="R12" s="1"/>
    </row>
    <row r="13" spans="2:18" ht="15.95" customHeight="1" x14ac:dyDescent="0.15">
      <c r="B13" s="29" t="s">
        <v>42</v>
      </c>
      <c r="C13" s="28"/>
      <c r="D13" s="13" t="s">
        <v>1</v>
      </c>
      <c r="E13" s="79">
        <f t="shared" ref="E13" si="1">F14*1.1</f>
        <v>319000</v>
      </c>
      <c r="F13" s="79"/>
      <c r="G13" s="80"/>
      <c r="H13" s="1">
        <v>6</v>
      </c>
      <c r="I13" s="36"/>
      <c r="J13" s="1">
        <v>6</v>
      </c>
      <c r="K13" s="1"/>
      <c r="L13" s="1"/>
      <c r="M13" s="1"/>
      <c r="O13" s="1"/>
      <c r="P13" s="1"/>
      <c r="Q13" s="1"/>
      <c r="R13" s="1"/>
    </row>
    <row r="14" spans="2:18" ht="11.45" customHeight="1" x14ac:dyDescent="0.15">
      <c r="B14" s="108" t="s">
        <v>42</v>
      </c>
      <c r="C14" s="28"/>
      <c r="D14" s="77" t="s">
        <v>2</v>
      </c>
      <c r="E14" s="78"/>
      <c r="F14" s="75">
        <v>290000</v>
      </c>
      <c r="G14" s="76"/>
      <c r="H14" s="1">
        <v>3</v>
      </c>
      <c r="I14" s="25"/>
      <c r="J14" s="1">
        <v>6</v>
      </c>
      <c r="K14" s="1"/>
      <c r="L14" s="1"/>
      <c r="M14" s="1"/>
      <c r="O14" s="1"/>
      <c r="P14" s="1"/>
      <c r="Q14" s="1"/>
      <c r="R14" s="1"/>
    </row>
    <row r="15" spans="2:18" ht="11.25" customHeight="1" x14ac:dyDescent="0.15">
      <c r="B15" s="108"/>
      <c r="C15" s="28"/>
      <c r="D15" s="6"/>
      <c r="E15" s="7"/>
      <c r="F15" s="7"/>
      <c r="G15" s="8"/>
      <c r="H15" s="1">
        <v>5</v>
      </c>
      <c r="I15" s="37"/>
      <c r="J15" s="1">
        <v>4</v>
      </c>
      <c r="K15" s="1"/>
      <c r="L15" s="1"/>
      <c r="M15" s="1"/>
      <c r="O15" s="1"/>
      <c r="P15" s="1"/>
      <c r="Q15" s="1"/>
      <c r="R15" s="1"/>
    </row>
    <row r="16" spans="2:18" ht="14.25" customHeight="1" x14ac:dyDescent="0.15">
      <c r="B16" s="29" t="s">
        <v>44</v>
      </c>
      <c r="C16" s="28"/>
      <c r="D16" s="67">
        <v>104224</v>
      </c>
      <c r="E16" s="68"/>
      <c r="F16" s="68"/>
      <c r="G16" s="9"/>
      <c r="H16" s="1">
        <v>4</v>
      </c>
      <c r="I16" s="26"/>
      <c r="J16" s="1">
        <v>4</v>
      </c>
      <c r="K16" s="1"/>
      <c r="L16" s="1"/>
      <c r="M16" s="1"/>
      <c r="O16" s="1"/>
      <c r="P16" s="1"/>
      <c r="Q16" s="1"/>
      <c r="R16" s="1"/>
    </row>
    <row r="17" spans="2:18" ht="14.25" customHeight="1" x14ac:dyDescent="0.15">
      <c r="B17" s="29" t="s">
        <v>44</v>
      </c>
      <c r="C17" s="28"/>
      <c r="D17" s="69">
        <v>20384</v>
      </c>
      <c r="E17" s="70"/>
      <c r="F17" s="70"/>
      <c r="G17" s="10" t="s">
        <v>22</v>
      </c>
      <c r="H17" s="1">
        <v>4</v>
      </c>
      <c r="I17" s="38"/>
      <c r="J17" s="1">
        <v>8</v>
      </c>
      <c r="K17" s="1"/>
      <c r="L17" s="1"/>
      <c r="M17" s="1"/>
      <c r="O17" s="1"/>
      <c r="P17" s="1"/>
      <c r="Q17" s="1"/>
      <c r="R17" s="1"/>
    </row>
    <row r="18" spans="2:18" ht="24.75" customHeight="1" x14ac:dyDescent="0.15">
      <c r="B18" s="29" t="s">
        <v>45</v>
      </c>
      <c r="C18" s="28"/>
      <c r="D18" s="100" t="s">
        <v>21</v>
      </c>
      <c r="E18" s="101"/>
      <c r="F18" s="101"/>
      <c r="G18" s="102"/>
      <c r="H18" s="1">
        <v>8</v>
      </c>
      <c r="I18" s="40"/>
      <c r="J18" s="1">
        <f>SUM(J12:J17)</f>
        <v>33</v>
      </c>
      <c r="K18" s="1"/>
      <c r="L18" s="1"/>
      <c r="M18" s="1"/>
      <c r="O18" s="1"/>
      <c r="P18" s="1"/>
      <c r="Q18" s="1"/>
      <c r="R18" s="1"/>
    </row>
    <row r="19" spans="2:18" ht="4.5" customHeight="1" x14ac:dyDescent="0.15">
      <c r="B19" s="28"/>
      <c r="C19" s="28"/>
      <c r="D19" s="30"/>
      <c r="E19" s="31"/>
      <c r="F19" s="31"/>
      <c r="G19" s="27"/>
      <c r="H19" s="1"/>
      <c r="I19" s="40"/>
      <c r="J19" s="1"/>
      <c r="K19" s="1"/>
      <c r="L19" s="1"/>
      <c r="M19" s="1"/>
      <c r="O19" s="42"/>
      <c r="P19" s="40"/>
      <c r="Q19" s="27"/>
      <c r="R19" s="27"/>
    </row>
    <row r="20" spans="2:18" x14ac:dyDescent="0.15">
      <c r="D20" s="109" t="s">
        <v>46</v>
      </c>
      <c r="E20" s="109"/>
      <c r="F20" s="109"/>
      <c r="G20" s="32" t="s">
        <v>47</v>
      </c>
      <c r="J20" s="1"/>
      <c r="K20" s="1"/>
      <c r="L20" s="1"/>
      <c r="M20" s="1"/>
    </row>
    <row r="22" spans="2:18" x14ac:dyDescent="0.15">
      <c r="B22" s="1" t="s">
        <v>48</v>
      </c>
      <c r="I22" s="1"/>
      <c r="J22" s="1"/>
      <c r="K22" s="1"/>
      <c r="L22" s="1"/>
      <c r="M22" s="1"/>
    </row>
    <row r="23" spans="2:18" x14ac:dyDescent="0.15">
      <c r="D23" s="86" t="s">
        <v>49</v>
      </c>
      <c r="E23" s="87"/>
      <c r="F23" s="87"/>
      <c r="G23" s="14" t="s">
        <v>40</v>
      </c>
      <c r="I23" s="1"/>
      <c r="J23" s="1"/>
      <c r="K23" s="1"/>
      <c r="L23" s="1"/>
      <c r="M23" s="1"/>
    </row>
    <row r="24" spans="2:18" ht="14.25" x14ac:dyDescent="0.15">
      <c r="D24" s="13" t="s">
        <v>1</v>
      </c>
      <c r="E24" s="79" t="s">
        <v>51</v>
      </c>
      <c r="F24" s="79"/>
      <c r="G24" s="80"/>
      <c r="I24" s="1"/>
      <c r="J24" s="1"/>
      <c r="K24" s="1"/>
      <c r="L24" s="1"/>
      <c r="M24" s="1"/>
    </row>
    <row r="25" spans="2:18" x14ac:dyDescent="0.15">
      <c r="D25" s="77" t="s">
        <v>2</v>
      </c>
      <c r="E25" s="78"/>
      <c r="F25" s="75" t="s">
        <v>52</v>
      </c>
      <c r="G25" s="76"/>
      <c r="I25" s="1"/>
      <c r="J25" s="1"/>
      <c r="K25" s="1"/>
      <c r="L25" s="1"/>
      <c r="M25" s="1"/>
    </row>
    <row r="26" spans="2:18" x14ac:dyDescent="0.15">
      <c r="D26" s="6"/>
      <c r="E26" s="7"/>
      <c r="F26" s="7"/>
      <c r="G26" s="8"/>
      <c r="I26" s="1"/>
      <c r="J26" s="1"/>
      <c r="K26" s="1"/>
      <c r="L26" s="1"/>
      <c r="M26" s="1"/>
    </row>
    <row r="27" spans="2:18" x14ac:dyDescent="0.15">
      <c r="D27" s="67" t="s">
        <v>53</v>
      </c>
      <c r="E27" s="68"/>
      <c r="F27" s="68"/>
      <c r="G27" s="9"/>
      <c r="I27" s="1"/>
      <c r="J27" s="1"/>
      <c r="K27" s="1"/>
      <c r="L27" s="1"/>
      <c r="M27" s="1"/>
    </row>
    <row r="28" spans="2:18" x14ac:dyDescent="0.15">
      <c r="D28" s="69" t="s">
        <v>54</v>
      </c>
      <c r="E28" s="70"/>
      <c r="F28" s="70"/>
      <c r="G28" s="10" t="s">
        <v>55</v>
      </c>
      <c r="I28" s="1"/>
      <c r="J28" s="1"/>
      <c r="K28" s="1"/>
      <c r="L28" s="1"/>
      <c r="M28" s="1"/>
    </row>
    <row r="29" spans="2:18" x14ac:dyDescent="0.15">
      <c r="D29" s="100" t="s">
        <v>56</v>
      </c>
      <c r="E29" s="101"/>
      <c r="F29" s="101"/>
      <c r="G29" s="102"/>
      <c r="I29" s="1"/>
      <c r="J29" s="1"/>
      <c r="K29" s="1"/>
      <c r="L29" s="1"/>
      <c r="M29" s="1"/>
    </row>
    <row r="30" spans="2:18" x14ac:dyDescent="0.15">
      <c r="I30" s="1"/>
      <c r="J30" s="1"/>
      <c r="K30" s="1"/>
      <c r="L30" s="1"/>
      <c r="M30" s="1"/>
    </row>
    <row r="31" spans="2:18" x14ac:dyDescent="0.15">
      <c r="E31" s="33"/>
      <c r="F31" s="33"/>
      <c r="I31" s="1"/>
      <c r="J31" s="1"/>
      <c r="K31" s="1"/>
      <c r="L31" s="1"/>
      <c r="M31" s="1"/>
    </row>
    <row r="32" spans="2:18" x14ac:dyDescent="0.15">
      <c r="D32" s="33" t="s">
        <v>71</v>
      </c>
      <c r="E32" s="33"/>
      <c r="F32" s="33"/>
      <c r="I32" s="1"/>
      <c r="J32" s="1"/>
      <c r="K32" s="1"/>
      <c r="L32" s="1"/>
      <c r="M32" s="1"/>
    </row>
    <row r="33" spans="2:12" x14ac:dyDescent="0.15">
      <c r="D33" s="33"/>
      <c r="E33" s="33"/>
      <c r="F33" s="33"/>
      <c r="I33" s="1"/>
      <c r="J33" s="1"/>
      <c r="K33" s="1"/>
      <c r="L33" s="1"/>
    </row>
    <row r="34" spans="2:12" x14ac:dyDescent="0.15">
      <c r="D34" s="1"/>
      <c r="E34" s="1"/>
      <c r="F34" s="1"/>
      <c r="G34" s="1"/>
      <c r="I34" s="1"/>
      <c r="J34" s="1"/>
      <c r="K34" s="1"/>
      <c r="L34" s="1"/>
    </row>
    <row r="35" spans="2:12" x14ac:dyDescent="0.15">
      <c r="B35" s="33" t="s">
        <v>58</v>
      </c>
      <c r="C35" s="33"/>
      <c r="D35" s="33"/>
      <c r="E35" s="1"/>
      <c r="F35" s="1"/>
      <c r="G35" s="1"/>
      <c r="I35" s="1"/>
      <c r="J35" s="1"/>
      <c r="K35" s="1"/>
      <c r="L35" s="1"/>
    </row>
    <row r="36" spans="2:12" x14ac:dyDescent="0.15">
      <c r="D36" s="33" t="s">
        <v>49</v>
      </c>
      <c r="F36" s="33"/>
      <c r="G36" s="1"/>
    </row>
    <row r="37" spans="2:12" x14ac:dyDescent="0.15">
      <c r="E37" s="33" t="s">
        <v>57</v>
      </c>
      <c r="F37" s="11"/>
      <c r="G37" s="1"/>
    </row>
    <row r="38" spans="2:12" x14ac:dyDescent="0.15">
      <c r="D38" s="33"/>
      <c r="E38" s="33" t="s">
        <v>59</v>
      </c>
      <c r="F38" s="33"/>
    </row>
    <row r="39" spans="2:12" x14ac:dyDescent="0.15">
      <c r="D39" s="33"/>
      <c r="E39" s="33" t="s">
        <v>62</v>
      </c>
      <c r="F39" s="33"/>
    </row>
    <row r="40" spans="2:12" x14ac:dyDescent="0.15">
      <c r="D40" s="33"/>
      <c r="E40" s="33" t="s">
        <v>60</v>
      </c>
      <c r="F40" s="33"/>
      <c r="G40" s="1"/>
      <c r="H40" s="1"/>
    </row>
    <row r="41" spans="2:12" x14ac:dyDescent="0.15">
      <c r="D41" s="33"/>
      <c r="E41" s="33" t="s">
        <v>61</v>
      </c>
      <c r="F41" s="33"/>
      <c r="G41" s="1"/>
      <c r="H41" s="1"/>
    </row>
    <row r="42" spans="2:12" x14ac:dyDescent="0.15">
      <c r="D42" s="33"/>
      <c r="E42" s="33" t="s">
        <v>63</v>
      </c>
      <c r="F42" s="33"/>
      <c r="G42" s="1"/>
    </row>
    <row r="43" spans="2:12" x14ac:dyDescent="0.15">
      <c r="D43" s="33" t="s">
        <v>40</v>
      </c>
      <c r="F43" s="11"/>
      <c r="G43" s="1"/>
      <c r="H43" s="1"/>
    </row>
    <row r="44" spans="2:12" x14ac:dyDescent="0.15">
      <c r="D44" s="33"/>
      <c r="E44" s="33" t="s">
        <v>64</v>
      </c>
      <c r="F44" s="33"/>
      <c r="G44" s="1"/>
      <c r="H44" s="1"/>
      <c r="K44" s="1"/>
    </row>
    <row r="45" spans="2:12" x14ac:dyDescent="0.15">
      <c r="E45" s="33" t="s">
        <v>65</v>
      </c>
      <c r="F45" s="33"/>
      <c r="G45" s="1"/>
      <c r="H45" s="1"/>
      <c r="K45" s="1"/>
    </row>
    <row r="46" spans="2:12" x14ac:dyDescent="0.15">
      <c r="D46" s="33" t="s">
        <v>66</v>
      </c>
      <c r="E46" s="1"/>
      <c r="F46" s="33"/>
      <c r="G46" s="1"/>
      <c r="H46" s="39"/>
      <c r="K46" s="1"/>
    </row>
    <row r="47" spans="2:12" x14ac:dyDescent="0.15">
      <c r="E47" s="33" t="s">
        <v>67</v>
      </c>
      <c r="F47" s="33"/>
      <c r="G47" s="1"/>
      <c r="H47" s="41"/>
    </row>
    <row r="48" spans="2:12" x14ac:dyDescent="0.15">
      <c r="D48" s="33" t="s">
        <v>55</v>
      </c>
      <c r="E48" s="1"/>
      <c r="F48" s="1"/>
      <c r="G48" s="1"/>
      <c r="H48" s="41"/>
    </row>
    <row r="49" spans="2:8" x14ac:dyDescent="0.15">
      <c r="D49" s="33"/>
      <c r="E49" s="33" t="s">
        <v>68</v>
      </c>
      <c r="F49" s="1"/>
      <c r="G49" s="1"/>
      <c r="H49" s="1"/>
    </row>
    <row r="50" spans="2:8" x14ac:dyDescent="0.15">
      <c r="D50" s="33" t="s">
        <v>69</v>
      </c>
      <c r="E50" s="1"/>
      <c r="F50" s="33"/>
      <c r="G50" s="1"/>
      <c r="H50" s="1"/>
    </row>
    <row r="51" spans="2:8" x14ac:dyDescent="0.15">
      <c r="E51" s="1"/>
      <c r="F51" s="1"/>
      <c r="G51" s="1"/>
      <c r="H51" s="1"/>
    </row>
    <row r="52" spans="2:8" x14ac:dyDescent="0.15">
      <c r="B52" s="33" t="s">
        <v>72</v>
      </c>
      <c r="D52" s="1"/>
      <c r="E52" s="1"/>
      <c r="F52" s="33"/>
      <c r="H52" s="1"/>
    </row>
    <row r="53" spans="2:8" x14ac:dyDescent="0.15">
      <c r="D53" s="33" t="s">
        <v>70</v>
      </c>
      <c r="E53" s="1"/>
      <c r="F53" s="33"/>
    </row>
    <row r="54" spans="2:8" x14ac:dyDescent="0.15">
      <c r="D54" s="1"/>
      <c r="E54" s="1"/>
      <c r="F54" s="1"/>
    </row>
    <row r="55" spans="2:8" x14ac:dyDescent="0.15">
      <c r="D55" s="1"/>
    </row>
  </sheetData>
  <mergeCells count="23">
    <mergeCell ref="B14:B15"/>
    <mergeCell ref="D23:F23"/>
    <mergeCell ref="E24:G24"/>
    <mergeCell ref="D18:G18"/>
    <mergeCell ref="D17:F17"/>
    <mergeCell ref="D16:F16"/>
    <mergeCell ref="D14:E14"/>
    <mergeCell ref="F14:G14"/>
    <mergeCell ref="D20:F20"/>
    <mergeCell ref="D25:E25"/>
    <mergeCell ref="F25:G25"/>
    <mergeCell ref="D27:F27"/>
    <mergeCell ref="D28:F28"/>
    <mergeCell ref="D29:G29"/>
    <mergeCell ref="D8:F8"/>
    <mergeCell ref="D9:G9"/>
    <mergeCell ref="E13:G13"/>
    <mergeCell ref="D12:F12"/>
    <mergeCell ref="D3:F3"/>
    <mergeCell ref="E4:G4"/>
    <mergeCell ref="D5:E5"/>
    <mergeCell ref="F5:G5"/>
    <mergeCell ref="D7:F7"/>
  </mergeCells>
  <phoneticPr fontId="2"/>
  <conditionalFormatting sqref="D3:G9">
    <cfRule type="expression" dxfId="598" priority="1">
      <formula>D3="K18"</formula>
    </cfRule>
    <cfRule type="expression" dxfId="597" priority="2">
      <formula>D3="K18WG"</formula>
    </cfRule>
    <cfRule type="expression" dxfId="596" priority="3">
      <formula>D3="K18PG"</formula>
    </cfRule>
    <cfRule type="expression" dxfId="595" priority="4">
      <formula>OR(D3="Pt900/K18",D3="Pt900/K18/K18PG")</formula>
    </cfRule>
  </conditionalFormatting>
  <conditionalFormatting sqref="D11:M11 O11:R11 D12:G19 I12:I19 O19:R19 D23:G29">
    <cfRule type="expression" dxfId="594" priority="11">
      <formula>D11="K18"</formula>
    </cfRule>
    <cfRule type="expression" dxfId="593" priority="12">
      <formula>D11="K18WG"</formula>
    </cfRule>
    <cfRule type="expression" dxfId="592" priority="13">
      <formula>D11="K18PG"</formula>
    </cfRule>
    <cfRule type="expression" dxfId="591" priority="14">
      <formula>OR(D11="Pt900/K18",D11="Pt900/K18/K18PG")</formula>
    </cfRule>
  </conditionalFormatting>
  <conditionalFormatting sqref="G3:G9">
    <cfRule type="expression" dxfId="590" priority="5">
      <formula>D3="K18"</formula>
    </cfRule>
  </conditionalFormatting>
  <conditionalFormatting sqref="G11:M11 G12:G19 I12:I19">
    <cfRule type="expression" dxfId="589" priority="15">
      <formula>D11="K18"</formula>
    </cfRule>
  </conditionalFormatting>
  <conditionalFormatting sqref="O11:R11 O19:R19 D23:G29">
    <cfRule type="expression" dxfId="588" priority="17">
      <formula>#REF!="K18"</formula>
    </cfRule>
  </conditionalFormatting>
  <pageMargins left="0.7" right="0.7" top="0.75" bottom="0.75" header="0.3" footer="0.3"/>
  <pageSetup paperSize="9" orientation="landscape" horizontalDpi="360" verticalDpi="360" r:id="rId1"/>
  <headerFooter>
    <oddFooter>&amp;R&amp;A&amp;P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E4F55-39E8-4A36-B3D8-C0B78CE82715}">
  <dimension ref="B2:R52"/>
  <sheetViews>
    <sheetView topLeftCell="A28" zoomScale="115" zoomScaleNormal="115" workbookViewId="0">
      <selection activeCell="J48" sqref="J48"/>
    </sheetView>
  </sheetViews>
  <sheetFormatPr defaultColWidth="9" defaultRowHeight="13.5" x14ac:dyDescent="0.15"/>
  <cols>
    <col min="1" max="1" width="9" style="1"/>
    <col min="2" max="2" width="7.625" style="1" customWidth="1"/>
    <col min="3" max="3" width="0.625" style="1" customWidth="1"/>
    <col min="4" max="4" width="3.25" style="12" customWidth="1"/>
    <col min="5" max="6" width="2.5" style="12" customWidth="1"/>
    <col min="7" max="8" width="4.75" style="11" customWidth="1"/>
    <col min="9" max="9" width="4.75" style="33" customWidth="1"/>
    <col min="10" max="10" width="12" style="33" bestFit="1" customWidth="1"/>
    <col min="11" max="13" width="4.75" style="33" customWidth="1"/>
    <col min="14" max="14" width="4.75" style="1" customWidth="1"/>
    <col min="15" max="15" width="3.25" style="34" customWidth="1"/>
    <col min="16" max="16" width="2.5" style="34" customWidth="1"/>
    <col min="17" max="17" width="2.5" style="12" customWidth="1"/>
    <col min="18" max="18" width="4.75" style="11" customWidth="1"/>
    <col min="19" max="16384" width="9" style="1"/>
  </cols>
  <sheetData>
    <row r="2" spans="2:18" x14ac:dyDescent="0.15">
      <c r="B2" s="1" t="s">
        <v>73</v>
      </c>
    </row>
    <row r="3" spans="2:18" ht="15" customHeight="1" x14ac:dyDescent="0.15">
      <c r="B3" s="28"/>
      <c r="C3" s="28"/>
      <c r="D3" s="86" t="s">
        <v>16</v>
      </c>
      <c r="E3" s="87"/>
      <c r="F3" s="87"/>
      <c r="G3" s="14">
        <v>160</v>
      </c>
      <c r="H3" s="1"/>
      <c r="I3" s="35"/>
      <c r="J3" s="1"/>
      <c r="K3" s="1"/>
      <c r="L3" s="1"/>
      <c r="M3" s="1"/>
      <c r="O3" s="1"/>
      <c r="P3" s="1"/>
      <c r="Q3" s="1"/>
      <c r="R3" s="1"/>
    </row>
    <row r="4" spans="2:18" ht="15.95" customHeight="1" x14ac:dyDescent="0.15">
      <c r="B4" s="28"/>
      <c r="C4" s="28"/>
      <c r="D4" s="110" t="s">
        <v>74</v>
      </c>
      <c r="E4" s="111"/>
      <c r="F4" s="111"/>
      <c r="G4" s="112"/>
      <c r="H4" s="1"/>
      <c r="I4" s="36"/>
      <c r="J4" s="1"/>
      <c r="K4" s="1"/>
      <c r="L4" s="1"/>
      <c r="M4" s="1"/>
      <c r="O4" s="1"/>
      <c r="P4" s="1"/>
      <c r="Q4" s="1"/>
      <c r="R4" s="1"/>
    </row>
    <row r="5" spans="2:18" ht="11.45" customHeight="1" x14ac:dyDescent="0.15">
      <c r="C5" s="28"/>
      <c r="D5" s="77"/>
      <c r="E5" s="78"/>
      <c r="F5" s="75"/>
      <c r="G5" s="76"/>
      <c r="H5" s="1"/>
      <c r="I5" s="25"/>
      <c r="J5" s="1"/>
      <c r="K5" s="1"/>
      <c r="L5" s="1"/>
      <c r="M5" s="1"/>
      <c r="O5" s="1"/>
      <c r="P5" s="1"/>
      <c r="Q5" s="1"/>
      <c r="R5" s="1"/>
    </row>
    <row r="6" spans="2:18" ht="11.25" customHeight="1" x14ac:dyDescent="0.15">
      <c r="C6" s="28"/>
      <c r="D6" s="6"/>
      <c r="E6" s="7"/>
      <c r="F6" s="7"/>
      <c r="G6" s="8"/>
      <c r="H6" s="1"/>
      <c r="I6" s="37"/>
      <c r="J6" s="1"/>
      <c r="K6" s="1"/>
      <c r="L6" s="1"/>
      <c r="M6" s="1"/>
      <c r="O6" s="1"/>
      <c r="P6" s="1"/>
      <c r="Q6" s="1"/>
      <c r="R6" s="1"/>
    </row>
    <row r="7" spans="2:18" ht="14.25" customHeight="1" x14ac:dyDescent="0.15">
      <c r="B7" s="28"/>
      <c r="C7" s="28"/>
      <c r="D7" s="67">
        <v>104224</v>
      </c>
      <c r="E7" s="68"/>
      <c r="F7" s="68"/>
      <c r="G7" s="9"/>
      <c r="H7" s="1"/>
      <c r="I7" s="26"/>
      <c r="J7" s="1"/>
      <c r="K7" s="1"/>
      <c r="L7" s="1"/>
      <c r="M7" s="1"/>
      <c r="O7" s="1"/>
      <c r="P7" s="1"/>
      <c r="Q7" s="1"/>
      <c r="R7" s="1"/>
    </row>
    <row r="8" spans="2:18" ht="14.25" customHeight="1" x14ac:dyDescent="0.15">
      <c r="B8" s="28"/>
      <c r="C8" s="28"/>
      <c r="D8" s="69">
        <v>20384</v>
      </c>
      <c r="E8" s="70"/>
      <c r="F8" s="70"/>
      <c r="G8" s="10" t="s">
        <v>22</v>
      </c>
      <c r="H8" s="1"/>
      <c r="I8" s="38"/>
      <c r="J8" s="1"/>
      <c r="K8" s="1"/>
      <c r="L8" s="1"/>
      <c r="M8" s="1"/>
      <c r="O8" s="1"/>
      <c r="P8" s="1"/>
      <c r="Q8" s="1"/>
      <c r="R8" s="1"/>
    </row>
    <row r="9" spans="2:18" ht="24.75" customHeight="1" x14ac:dyDescent="0.15">
      <c r="B9" s="28"/>
      <c r="C9" s="28"/>
      <c r="D9" s="100" t="s">
        <v>21</v>
      </c>
      <c r="E9" s="101"/>
      <c r="F9" s="101"/>
      <c r="G9" s="102"/>
      <c r="H9" s="1"/>
      <c r="I9" s="40"/>
      <c r="J9" s="1"/>
      <c r="K9" s="1"/>
      <c r="L9" s="1"/>
      <c r="M9" s="1"/>
      <c r="O9" s="1"/>
      <c r="P9" s="1"/>
      <c r="Q9" s="1"/>
      <c r="R9" s="1"/>
    </row>
    <row r="11" spans="2:18" ht="13.5" customHeight="1" x14ac:dyDescent="0.15">
      <c r="B11" s="1" t="s">
        <v>41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O11" s="24"/>
      <c r="P11" s="24"/>
      <c r="Q11" s="24"/>
      <c r="R11" s="24"/>
    </row>
    <row r="12" spans="2:18" ht="15" customHeight="1" x14ac:dyDescent="0.15">
      <c r="B12" s="29" t="s">
        <v>43</v>
      </c>
      <c r="C12" s="28"/>
      <c r="D12" s="86" t="s">
        <v>16</v>
      </c>
      <c r="E12" s="87"/>
      <c r="F12" s="87"/>
      <c r="G12" s="14">
        <v>160</v>
      </c>
      <c r="H12" s="1"/>
      <c r="I12" s="35">
        <v>4</v>
      </c>
      <c r="J12" s="1">
        <v>5</v>
      </c>
      <c r="K12" s="1"/>
      <c r="L12" s="1"/>
      <c r="M12" s="1"/>
      <c r="O12" s="1"/>
      <c r="P12" s="1"/>
      <c r="Q12" s="1"/>
      <c r="R12" s="1"/>
    </row>
    <row r="13" spans="2:18" ht="15.95" customHeight="1" x14ac:dyDescent="0.15">
      <c r="B13" s="29" t="s">
        <v>43</v>
      </c>
      <c r="C13" s="28"/>
      <c r="D13" s="110" t="s">
        <v>74</v>
      </c>
      <c r="E13" s="111"/>
      <c r="F13" s="111"/>
      <c r="G13" s="112"/>
      <c r="H13" s="1"/>
      <c r="I13" s="36">
        <v>6</v>
      </c>
      <c r="J13" s="1">
        <v>5</v>
      </c>
      <c r="K13" s="1"/>
      <c r="L13" s="1"/>
      <c r="M13" s="1"/>
      <c r="O13" s="1"/>
      <c r="P13" s="1"/>
      <c r="Q13" s="1"/>
      <c r="R13" s="1"/>
    </row>
    <row r="14" spans="2:18" ht="11.45" customHeight="1" x14ac:dyDescent="0.15">
      <c r="B14" s="108" t="s">
        <v>75</v>
      </c>
      <c r="C14" s="28"/>
      <c r="D14" s="77"/>
      <c r="E14" s="78"/>
      <c r="F14" s="75"/>
      <c r="G14" s="76"/>
      <c r="H14" s="1"/>
      <c r="I14" s="25">
        <v>3</v>
      </c>
      <c r="J14" s="1">
        <v>7</v>
      </c>
      <c r="K14" s="1"/>
      <c r="L14" s="1"/>
      <c r="M14" s="1"/>
      <c r="O14" s="1"/>
      <c r="P14" s="1"/>
      <c r="Q14" s="1"/>
      <c r="R14" s="1"/>
    </row>
    <row r="15" spans="2:18" ht="11.25" customHeight="1" x14ac:dyDescent="0.15">
      <c r="B15" s="108"/>
      <c r="C15" s="28"/>
      <c r="D15" s="6"/>
      <c r="E15" s="7"/>
      <c r="F15" s="7"/>
      <c r="G15" s="8"/>
      <c r="H15" s="1"/>
      <c r="I15" s="37">
        <v>5</v>
      </c>
      <c r="J15" s="1"/>
      <c r="K15" s="1"/>
      <c r="L15" s="1"/>
      <c r="M15" s="1"/>
      <c r="O15" s="1"/>
      <c r="P15" s="1"/>
      <c r="Q15" s="1"/>
      <c r="R15" s="1"/>
    </row>
    <row r="16" spans="2:18" ht="14.25" customHeight="1" x14ac:dyDescent="0.15">
      <c r="B16" s="29" t="s">
        <v>44</v>
      </c>
      <c r="C16" s="28"/>
      <c r="D16" s="67">
        <v>104224</v>
      </c>
      <c r="E16" s="68"/>
      <c r="F16" s="68"/>
      <c r="G16" s="9"/>
      <c r="H16" s="1"/>
      <c r="I16" s="26">
        <v>4</v>
      </c>
      <c r="J16" s="1">
        <v>4</v>
      </c>
      <c r="K16" s="1"/>
      <c r="L16" s="1"/>
      <c r="M16" s="1"/>
      <c r="O16" s="1"/>
      <c r="P16" s="1"/>
      <c r="Q16" s="1"/>
      <c r="R16" s="1"/>
    </row>
    <row r="17" spans="2:18" ht="14.25" customHeight="1" x14ac:dyDescent="0.15">
      <c r="B17" s="29" t="s">
        <v>44</v>
      </c>
      <c r="C17" s="28"/>
      <c r="D17" s="69">
        <v>20384</v>
      </c>
      <c r="E17" s="70"/>
      <c r="F17" s="70"/>
      <c r="G17" s="10" t="s">
        <v>22</v>
      </c>
      <c r="H17" s="1"/>
      <c r="I17" s="38">
        <v>4</v>
      </c>
      <c r="J17" s="1">
        <v>4</v>
      </c>
      <c r="K17" s="1"/>
      <c r="L17" s="1"/>
      <c r="M17" s="1"/>
      <c r="O17" s="1"/>
      <c r="P17" s="1"/>
      <c r="Q17" s="1"/>
      <c r="R17" s="1"/>
    </row>
    <row r="18" spans="2:18" ht="24.75" customHeight="1" x14ac:dyDescent="0.15">
      <c r="B18" s="29" t="s">
        <v>45</v>
      </c>
      <c r="C18" s="28"/>
      <c r="D18" s="100" t="s">
        <v>21</v>
      </c>
      <c r="E18" s="101"/>
      <c r="F18" s="101"/>
      <c r="G18" s="102"/>
      <c r="H18" s="1"/>
      <c r="I18" s="40">
        <v>8</v>
      </c>
      <c r="J18" s="1">
        <v>8</v>
      </c>
      <c r="K18" s="1"/>
      <c r="L18" s="1"/>
      <c r="M18" s="1"/>
      <c r="O18" s="1"/>
      <c r="P18" s="1"/>
      <c r="Q18" s="1"/>
      <c r="R18" s="1"/>
    </row>
    <row r="19" spans="2:18" ht="4.5" customHeight="1" x14ac:dyDescent="0.15">
      <c r="B19" s="28"/>
      <c r="C19" s="28"/>
      <c r="D19" s="30"/>
      <c r="E19" s="31"/>
      <c r="F19" s="31"/>
      <c r="G19" s="27"/>
      <c r="H19" s="1"/>
      <c r="I19" s="40"/>
      <c r="J19" s="1"/>
      <c r="K19" s="1"/>
      <c r="L19" s="1"/>
      <c r="M19" s="1"/>
      <c r="O19" s="42"/>
      <c r="P19" s="40"/>
      <c r="Q19" s="27"/>
      <c r="R19" s="27"/>
    </row>
    <row r="20" spans="2:18" x14ac:dyDescent="0.15">
      <c r="D20" s="109" t="s">
        <v>46</v>
      </c>
      <c r="E20" s="109"/>
      <c r="F20" s="109"/>
      <c r="G20" s="32" t="s">
        <v>47</v>
      </c>
      <c r="J20" s="1"/>
      <c r="K20" s="1"/>
      <c r="L20" s="1"/>
      <c r="M20" s="1"/>
    </row>
    <row r="22" spans="2:18" x14ac:dyDescent="0.15">
      <c r="B22" s="1" t="s">
        <v>48</v>
      </c>
      <c r="I22" s="1"/>
      <c r="J22" s="1"/>
      <c r="K22" s="1"/>
      <c r="L22" s="1">
        <v>14</v>
      </c>
      <c r="M22" s="1"/>
    </row>
    <row r="23" spans="2:18" ht="15" customHeight="1" x14ac:dyDescent="0.15">
      <c r="B23" s="28"/>
      <c r="C23" s="28"/>
      <c r="D23" s="86" t="s">
        <v>49</v>
      </c>
      <c r="E23" s="87"/>
      <c r="F23" s="87"/>
      <c r="G23" s="14" t="s">
        <v>40</v>
      </c>
      <c r="H23" s="1"/>
      <c r="I23" s="35"/>
      <c r="J23" s="1"/>
      <c r="K23" s="1"/>
      <c r="L23" s="1">
        <v>11</v>
      </c>
      <c r="M23" s="1"/>
      <c r="O23" s="1"/>
      <c r="P23" s="1"/>
      <c r="Q23" s="1"/>
      <c r="R23" s="1"/>
    </row>
    <row r="24" spans="2:18" ht="15.95" customHeight="1" x14ac:dyDescent="0.15">
      <c r="B24" s="28"/>
      <c r="C24" s="28"/>
      <c r="D24" s="110" t="s">
        <v>56</v>
      </c>
      <c r="E24" s="111"/>
      <c r="F24" s="111"/>
      <c r="G24" s="112"/>
      <c r="H24" s="1"/>
      <c r="I24" s="36"/>
      <c r="J24" s="1"/>
      <c r="K24" s="1"/>
      <c r="L24" s="1"/>
      <c r="M24" s="1"/>
      <c r="O24" s="1"/>
      <c r="P24" s="1"/>
      <c r="Q24" s="1"/>
      <c r="R24" s="1"/>
    </row>
    <row r="25" spans="2:18" ht="11.45" customHeight="1" x14ac:dyDescent="0.15">
      <c r="C25" s="28"/>
      <c r="D25" s="77"/>
      <c r="E25" s="78"/>
      <c r="F25" s="75"/>
      <c r="G25" s="76"/>
      <c r="H25" s="1"/>
      <c r="I25" s="25"/>
      <c r="J25" s="1"/>
      <c r="K25" s="1"/>
      <c r="L25" s="1"/>
      <c r="M25" s="1"/>
      <c r="O25" s="1"/>
      <c r="P25" s="1"/>
      <c r="Q25" s="1"/>
      <c r="R25" s="1"/>
    </row>
    <row r="26" spans="2:18" ht="11.25" customHeight="1" x14ac:dyDescent="0.15">
      <c r="C26" s="28"/>
      <c r="D26" s="6"/>
      <c r="E26" s="7"/>
      <c r="F26" s="7"/>
      <c r="G26" s="8"/>
      <c r="H26" s="1"/>
      <c r="I26" s="37"/>
      <c r="J26" s="1"/>
      <c r="K26" s="1"/>
      <c r="L26" s="1"/>
      <c r="M26" s="1"/>
      <c r="O26" s="1"/>
      <c r="P26" s="1"/>
      <c r="Q26" s="1"/>
      <c r="R26" s="1"/>
    </row>
    <row r="27" spans="2:18" ht="14.25" customHeight="1" x14ac:dyDescent="0.15">
      <c r="B27" s="28"/>
      <c r="C27" s="28"/>
      <c r="D27" s="67" t="s">
        <v>53</v>
      </c>
      <c r="E27" s="68"/>
      <c r="F27" s="68"/>
      <c r="G27" s="9"/>
      <c r="H27" s="1"/>
      <c r="I27" s="26"/>
      <c r="J27" s="1"/>
      <c r="K27" s="1"/>
      <c r="L27" s="1"/>
      <c r="M27" s="1">
        <v>8</v>
      </c>
      <c r="N27" s="1">
        <v>8</v>
      </c>
      <c r="O27" s="1"/>
      <c r="P27" s="1"/>
      <c r="Q27" s="1"/>
      <c r="R27" s="1"/>
    </row>
    <row r="28" spans="2:18" ht="14.25" customHeight="1" x14ac:dyDescent="0.15">
      <c r="B28" s="28"/>
      <c r="C28" s="28"/>
      <c r="D28" s="69" t="s">
        <v>54</v>
      </c>
      <c r="E28" s="70"/>
      <c r="F28" s="70"/>
      <c r="G28" s="10" t="s">
        <v>55</v>
      </c>
      <c r="H28" s="1"/>
      <c r="I28" s="38"/>
      <c r="J28" s="1"/>
      <c r="K28" s="1"/>
      <c r="L28" s="1"/>
      <c r="M28" s="1">
        <v>17</v>
      </c>
      <c r="N28" s="1">
        <v>9</v>
      </c>
      <c r="O28" s="1"/>
      <c r="P28" s="1"/>
      <c r="Q28" s="1"/>
      <c r="R28" s="1"/>
    </row>
    <row r="29" spans="2:18" ht="24.75" customHeight="1" x14ac:dyDescent="0.15">
      <c r="B29" s="28"/>
      <c r="C29" s="28"/>
      <c r="D29" s="100" t="s">
        <v>56</v>
      </c>
      <c r="E29" s="101"/>
      <c r="F29" s="101"/>
      <c r="G29" s="102"/>
      <c r="H29" s="1"/>
      <c r="I29" s="40"/>
      <c r="J29" s="1"/>
      <c r="K29" s="1"/>
      <c r="L29" s="1"/>
      <c r="M29" s="1"/>
      <c r="N29" s="1">
        <v>8</v>
      </c>
      <c r="O29" s="1"/>
      <c r="P29" s="1"/>
      <c r="Q29" s="1"/>
      <c r="R29" s="1"/>
    </row>
    <row r="30" spans="2:18" x14ac:dyDescent="0.15">
      <c r="I30" s="1"/>
      <c r="J30" s="1"/>
      <c r="K30" s="1"/>
      <c r="L30" s="1"/>
      <c r="M30" s="1"/>
    </row>
    <row r="31" spans="2:18" x14ac:dyDescent="0.15">
      <c r="D31" s="1"/>
      <c r="E31" s="1"/>
      <c r="F31" s="1"/>
      <c r="G31" s="1"/>
      <c r="I31" s="1"/>
      <c r="J31" s="1"/>
      <c r="K31" s="1"/>
      <c r="L31" s="1"/>
    </row>
    <row r="32" spans="2:18" x14ac:dyDescent="0.15">
      <c r="B32" s="33" t="s">
        <v>58</v>
      </c>
      <c r="C32" s="33"/>
      <c r="D32" s="33"/>
      <c r="E32" s="1"/>
      <c r="F32" s="1"/>
      <c r="G32" s="1"/>
      <c r="I32" s="1"/>
      <c r="J32" s="1"/>
      <c r="K32" s="1"/>
      <c r="L32" s="1"/>
    </row>
    <row r="33" spans="4:11" x14ac:dyDescent="0.15">
      <c r="D33" s="33" t="s">
        <v>49</v>
      </c>
      <c r="F33" s="33"/>
      <c r="G33" s="1"/>
    </row>
    <row r="34" spans="4:11" x14ac:dyDescent="0.15">
      <c r="E34" s="33" t="s">
        <v>57</v>
      </c>
      <c r="F34" s="11"/>
      <c r="G34" s="1"/>
    </row>
    <row r="35" spans="4:11" x14ac:dyDescent="0.15">
      <c r="D35" s="33"/>
      <c r="E35" s="33" t="s">
        <v>59</v>
      </c>
      <c r="F35" s="33"/>
    </row>
    <row r="36" spans="4:11" x14ac:dyDescent="0.15">
      <c r="D36" s="33"/>
      <c r="E36" s="33" t="s">
        <v>62</v>
      </c>
      <c r="F36" s="33"/>
    </row>
    <row r="37" spans="4:11" x14ac:dyDescent="0.15">
      <c r="D37" s="33"/>
      <c r="E37" s="33" t="s">
        <v>60</v>
      </c>
      <c r="F37" s="33"/>
      <c r="G37" s="1"/>
      <c r="H37" s="1"/>
    </row>
    <row r="38" spans="4:11" x14ac:dyDescent="0.15">
      <c r="D38" s="33"/>
      <c r="E38" s="33" t="s">
        <v>61</v>
      </c>
      <c r="F38" s="33"/>
      <c r="G38" s="1"/>
      <c r="H38" s="1"/>
    </row>
    <row r="39" spans="4:11" x14ac:dyDescent="0.15">
      <c r="D39" s="33"/>
      <c r="E39" s="33" t="s">
        <v>63</v>
      </c>
      <c r="F39" s="33"/>
      <c r="G39" s="1"/>
    </row>
    <row r="40" spans="4:11" x14ac:dyDescent="0.15">
      <c r="D40" s="33" t="s">
        <v>40</v>
      </c>
      <c r="F40" s="11"/>
      <c r="G40" s="1"/>
      <c r="H40" s="1"/>
    </row>
    <row r="41" spans="4:11" x14ac:dyDescent="0.15">
      <c r="D41" s="33"/>
      <c r="E41" s="33" t="s">
        <v>64</v>
      </c>
      <c r="F41" s="33"/>
      <c r="G41" s="1"/>
      <c r="H41" s="1"/>
      <c r="K41" s="1"/>
    </row>
    <row r="42" spans="4:11" x14ac:dyDescent="0.15">
      <c r="E42" s="33" t="s">
        <v>65</v>
      </c>
      <c r="F42" s="33"/>
      <c r="G42" s="1"/>
      <c r="H42" s="1"/>
      <c r="K42" s="1"/>
    </row>
    <row r="43" spans="4:11" x14ac:dyDescent="0.15">
      <c r="D43" s="33" t="s">
        <v>66</v>
      </c>
      <c r="E43" s="1"/>
      <c r="F43" s="33"/>
      <c r="G43" s="1"/>
      <c r="H43" s="39"/>
      <c r="K43" s="1"/>
    </row>
    <row r="44" spans="4:11" x14ac:dyDescent="0.15">
      <c r="E44" s="33" t="s">
        <v>67</v>
      </c>
      <c r="F44" s="33"/>
      <c r="G44" s="1"/>
      <c r="H44" s="41"/>
    </row>
    <row r="45" spans="4:11" x14ac:dyDescent="0.15">
      <c r="D45" s="33" t="s">
        <v>55</v>
      </c>
      <c r="E45" s="1"/>
      <c r="F45" s="1"/>
      <c r="G45" s="1"/>
      <c r="H45" s="41"/>
    </row>
    <row r="46" spans="4:11" x14ac:dyDescent="0.15">
      <c r="D46" s="33"/>
      <c r="E46" s="33" t="s">
        <v>68</v>
      </c>
      <c r="F46" s="1"/>
      <c r="G46" s="1"/>
      <c r="H46" s="1"/>
    </row>
    <row r="47" spans="4:11" x14ac:dyDescent="0.15">
      <c r="D47" s="33" t="s">
        <v>69</v>
      </c>
      <c r="E47" s="1"/>
      <c r="F47" s="33"/>
      <c r="G47" s="1"/>
      <c r="H47" s="1"/>
    </row>
    <row r="48" spans="4:11" x14ac:dyDescent="0.15">
      <c r="E48" s="1"/>
      <c r="F48" s="1"/>
      <c r="G48" s="1"/>
      <c r="H48" s="1"/>
    </row>
    <row r="49" spans="2:8" x14ac:dyDescent="0.15">
      <c r="B49" s="33" t="s">
        <v>72</v>
      </c>
      <c r="D49" s="1"/>
      <c r="E49" s="1"/>
      <c r="F49" s="33"/>
      <c r="H49" s="1"/>
    </row>
    <row r="50" spans="2:8" x14ac:dyDescent="0.15">
      <c r="D50" s="33" t="s">
        <v>70</v>
      </c>
      <c r="E50" s="1"/>
      <c r="F50" s="33"/>
    </row>
    <row r="51" spans="2:8" x14ac:dyDescent="0.15">
      <c r="D51" s="1"/>
      <c r="E51" s="1"/>
      <c r="F51" s="1"/>
    </row>
    <row r="52" spans="2:8" x14ac:dyDescent="0.15">
      <c r="D52" s="1"/>
    </row>
  </sheetData>
  <mergeCells count="23">
    <mergeCell ref="D28:F28"/>
    <mergeCell ref="B14:B15"/>
    <mergeCell ref="D29:G29"/>
    <mergeCell ref="D4:G4"/>
    <mergeCell ref="D16:F16"/>
    <mergeCell ref="D17:F17"/>
    <mergeCell ref="D18:G18"/>
    <mergeCell ref="D20:F20"/>
    <mergeCell ref="D23:F23"/>
    <mergeCell ref="D9:G9"/>
    <mergeCell ref="D12:F12"/>
    <mergeCell ref="D14:E14"/>
    <mergeCell ref="F14:G14"/>
    <mergeCell ref="D13:G13"/>
    <mergeCell ref="D24:G24"/>
    <mergeCell ref="D25:E25"/>
    <mergeCell ref="F25:G25"/>
    <mergeCell ref="D27:F27"/>
    <mergeCell ref="D3:F3"/>
    <mergeCell ref="D5:E5"/>
    <mergeCell ref="F5:G5"/>
    <mergeCell ref="D7:F7"/>
    <mergeCell ref="D8:F8"/>
  </mergeCells>
  <phoneticPr fontId="2"/>
  <conditionalFormatting sqref="D3:G3 D4 D5:G9">
    <cfRule type="expression" dxfId="587" priority="1">
      <formula>D3="K18"</formula>
    </cfRule>
    <cfRule type="expression" dxfId="586" priority="2">
      <formula>D3="K18WG"</formula>
    </cfRule>
    <cfRule type="expression" dxfId="585" priority="3">
      <formula>D3="K18PG"</formula>
    </cfRule>
    <cfRule type="expression" dxfId="584" priority="4">
      <formula>OR(D3="Pt900/K18",D3="Pt900/K18/K18PG")</formula>
    </cfRule>
  </conditionalFormatting>
  <conditionalFormatting sqref="D12:G12 D13 D14:G19">
    <cfRule type="expression" dxfId="583" priority="21">
      <formula>D12="K18"</formula>
    </cfRule>
    <cfRule type="expression" dxfId="582" priority="22">
      <formula>D12="K18WG"</formula>
    </cfRule>
    <cfRule type="expression" dxfId="581" priority="23">
      <formula>D12="K18PG"</formula>
    </cfRule>
    <cfRule type="expression" dxfId="580" priority="24">
      <formula>OR(D12="Pt900/K18",D12="Pt900/K18/K18PG")</formula>
    </cfRule>
  </conditionalFormatting>
  <conditionalFormatting sqref="D23:G23 D24 D25:G29">
    <cfRule type="expression" dxfId="579" priority="11">
      <formula>D23="K18"</formula>
    </cfRule>
    <cfRule type="expression" dxfId="578" priority="12">
      <formula>D23="K18WG"</formula>
    </cfRule>
    <cfRule type="expression" dxfId="577" priority="13">
      <formula>D23="K18PG"</formula>
    </cfRule>
    <cfRule type="expression" dxfId="576" priority="14">
      <formula>OR(D23="Pt900/K18",D23="Pt900/K18/K18PG")</formula>
    </cfRule>
  </conditionalFormatting>
  <conditionalFormatting sqref="D11:M11 O11:R11 I12:I19 O19:R19">
    <cfRule type="expression" dxfId="575" priority="31">
      <formula>D11="K18"</formula>
    </cfRule>
    <cfRule type="expression" dxfId="574" priority="32">
      <formula>D11="K18WG"</formula>
    </cfRule>
    <cfRule type="expression" dxfId="573" priority="33">
      <formula>D11="K18PG"</formula>
    </cfRule>
    <cfRule type="expression" dxfId="572" priority="34">
      <formula>OR(D11="Pt900/K18",D11="Pt900/K18/K18PG")</formula>
    </cfRule>
  </conditionalFormatting>
  <conditionalFormatting sqref="G3 G5:G9">
    <cfRule type="expression" dxfId="571" priority="5">
      <formula>D3="K18"</formula>
    </cfRule>
  </conditionalFormatting>
  <conditionalFormatting sqref="G12 G14:G19">
    <cfRule type="expression" dxfId="570" priority="25">
      <formula>D12="K18"</formula>
    </cfRule>
  </conditionalFormatting>
  <conditionalFormatting sqref="G23 G25:G29">
    <cfRule type="expression" dxfId="569" priority="15">
      <formula>D23="K18"</formula>
    </cfRule>
  </conditionalFormatting>
  <conditionalFormatting sqref="G11:M11 I12:I19">
    <cfRule type="expression" dxfId="568" priority="35">
      <formula>D11="K18"</formula>
    </cfRule>
  </conditionalFormatting>
  <conditionalFormatting sqref="I3:I9">
    <cfRule type="expression" dxfId="567" priority="6">
      <formula>I3="K18"</formula>
    </cfRule>
    <cfRule type="expression" dxfId="566" priority="7">
      <formula>I3="K18WG"</formula>
    </cfRule>
    <cfRule type="expression" dxfId="565" priority="8">
      <formula>I3="K18PG"</formula>
    </cfRule>
    <cfRule type="expression" dxfId="564" priority="9">
      <formula>OR(I3="Pt900/K18",I3="Pt900/K18/K18PG")</formula>
    </cfRule>
    <cfRule type="expression" dxfId="563" priority="10">
      <formula>F3="K18"</formula>
    </cfRule>
  </conditionalFormatting>
  <conditionalFormatting sqref="I23:I29">
    <cfRule type="expression" dxfId="562" priority="16">
      <formula>I23="K18"</formula>
    </cfRule>
    <cfRule type="expression" dxfId="561" priority="17">
      <formula>I23="K18WG"</formula>
    </cfRule>
    <cfRule type="expression" dxfId="560" priority="18">
      <formula>I23="K18PG"</formula>
    </cfRule>
    <cfRule type="expression" dxfId="559" priority="19">
      <formula>OR(I23="Pt900/K18",I23="Pt900/K18/K18PG")</formula>
    </cfRule>
    <cfRule type="expression" dxfId="558" priority="20">
      <formula>F23="K18"</formula>
    </cfRule>
  </conditionalFormatting>
  <conditionalFormatting sqref="O11:R11 O19:R19">
    <cfRule type="expression" dxfId="557" priority="36">
      <formula>#REF!="K18"</formula>
    </cfRule>
  </conditionalFormatting>
  <pageMargins left="0.7" right="0.7" top="0.75" bottom="0.75" header="0.3" footer="0.3"/>
  <pageSetup paperSize="9" orientation="landscape" horizontalDpi="360" verticalDpi="360" r:id="rId1"/>
  <headerFooter>
    <oddFooter>&amp;R&amp;A&amp;P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EE4E8-D125-45FA-9857-182D281CC909}">
  <dimension ref="B2:R52"/>
  <sheetViews>
    <sheetView topLeftCell="A25" zoomScale="115" zoomScaleNormal="115" workbookViewId="0">
      <selection activeCell="J12" sqref="J12"/>
    </sheetView>
  </sheetViews>
  <sheetFormatPr defaultColWidth="9" defaultRowHeight="13.5" x14ac:dyDescent="0.15"/>
  <cols>
    <col min="1" max="1" width="9" style="1"/>
    <col min="2" max="2" width="7.625" style="1" customWidth="1"/>
    <col min="3" max="3" width="0.625" style="1" customWidth="1"/>
    <col min="4" max="4" width="3.25" style="12" customWidth="1"/>
    <col min="5" max="6" width="2.5" style="12" customWidth="1"/>
    <col min="7" max="8" width="4.75" style="11" customWidth="1"/>
    <col min="9" max="9" width="4.75" style="33" customWidth="1"/>
    <col min="10" max="10" width="12" style="33" bestFit="1" customWidth="1"/>
    <col min="11" max="13" width="4.75" style="33" customWidth="1"/>
    <col min="14" max="14" width="4.75" style="1" customWidth="1"/>
    <col min="15" max="15" width="3.25" style="34" customWidth="1"/>
    <col min="16" max="16" width="2.5" style="34" customWidth="1"/>
    <col min="17" max="17" width="2.5" style="12" customWidth="1"/>
    <col min="18" max="18" width="4.75" style="11" customWidth="1"/>
    <col min="19" max="16384" width="9" style="1"/>
  </cols>
  <sheetData>
    <row r="2" spans="2:18" ht="14.25" thickBot="1" x14ac:dyDescent="0.2">
      <c r="B2" s="1" t="s">
        <v>73</v>
      </c>
    </row>
    <row r="3" spans="2:18" ht="15" customHeight="1" x14ac:dyDescent="0.15">
      <c r="B3" s="28"/>
      <c r="C3" s="28"/>
      <c r="D3" s="123" t="s">
        <v>76</v>
      </c>
      <c r="E3" s="124"/>
      <c r="F3" s="124"/>
      <c r="G3" s="51">
        <v>0.3</v>
      </c>
      <c r="H3" s="1"/>
      <c r="I3" s="35"/>
      <c r="J3" s="1"/>
      <c r="K3" s="1"/>
      <c r="L3" s="1"/>
      <c r="M3" s="1"/>
      <c r="O3" s="1"/>
      <c r="P3" s="1"/>
      <c r="Q3" s="1"/>
      <c r="R3" s="1"/>
    </row>
    <row r="4" spans="2:18" ht="15.95" customHeight="1" x14ac:dyDescent="0.15">
      <c r="B4" s="28"/>
      <c r="C4" s="28"/>
      <c r="D4" s="113" t="s">
        <v>78</v>
      </c>
      <c r="E4" s="114"/>
      <c r="F4" s="114"/>
      <c r="G4" s="115"/>
      <c r="H4" s="1"/>
      <c r="I4" s="36"/>
      <c r="J4" s="1"/>
      <c r="K4" s="1"/>
      <c r="L4" s="1"/>
      <c r="M4" s="1"/>
      <c r="O4" s="1"/>
      <c r="P4" s="1"/>
      <c r="Q4" s="1"/>
      <c r="R4" s="1"/>
    </row>
    <row r="5" spans="2:18" ht="11.45" customHeight="1" x14ac:dyDescent="0.15">
      <c r="C5" s="28"/>
      <c r="D5" s="116"/>
      <c r="E5" s="117"/>
      <c r="F5" s="117"/>
      <c r="G5" s="118"/>
      <c r="H5" s="1"/>
      <c r="I5" s="25"/>
      <c r="J5" s="1"/>
      <c r="K5" s="1"/>
      <c r="L5" s="1"/>
      <c r="M5" s="1"/>
      <c r="O5" s="1"/>
      <c r="P5" s="1"/>
      <c r="Q5" s="1"/>
      <c r="R5" s="1"/>
    </row>
    <row r="6" spans="2:18" ht="11.25" customHeight="1" x14ac:dyDescent="0.15">
      <c r="C6" s="28"/>
      <c r="D6" s="53"/>
      <c r="E6" s="54"/>
      <c r="F6" s="54"/>
      <c r="G6" s="55"/>
      <c r="H6" s="1"/>
      <c r="I6" s="37"/>
      <c r="J6" s="1"/>
      <c r="K6" s="1"/>
      <c r="L6" s="1"/>
      <c r="M6" s="1"/>
      <c r="O6" s="1"/>
      <c r="P6" s="1"/>
      <c r="Q6" s="1"/>
      <c r="R6" s="1"/>
    </row>
    <row r="7" spans="2:18" ht="14.25" customHeight="1" x14ac:dyDescent="0.15">
      <c r="B7" s="28"/>
      <c r="C7" s="28"/>
      <c r="D7" s="58" t="str">
        <f>IF(D2="","",IF(RIGHT(D2,5)="00000","50"&amp;LEFT(D2,LEN(D2)-5),IF(RIGHT(D2,4)="0000","40"&amp;LEFT(D2,LEN(D2)-4),IF(RIGHT(D2,3)="000","30"&amp;LEFT(D2,LEN(D2)-3),IF(RIGHT(D2,2)="00","20"&amp;LEFT(D2,LEN(D2)-2),IF(RIGHT(D2,1)="0","10"&amp;LEFT(D2,LEN(D2)-1),"error"))))))</f>
        <v/>
      </c>
      <c r="E7" s="59"/>
      <c r="F7" s="59"/>
      <c r="G7" s="60">
        <v>2.63</v>
      </c>
      <c r="H7" s="1"/>
      <c r="I7" s="26"/>
      <c r="J7" s="1"/>
      <c r="K7" s="1"/>
      <c r="L7" s="1"/>
      <c r="M7" s="1"/>
      <c r="O7" s="1"/>
      <c r="P7" s="1"/>
      <c r="Q7" s="1"/>
      <c r="R7" s="1"/>
    </row>
    <row r="8" spans="2:18" ht="14.25" customHeight="1" x14ac:dyDescent="0.15">
      <c r="B8" s="28"/>
      <c r="C8" s="28"/>
      <c r="D8" s="63">
        <v>2026</v>
      </c>
      <c r="E8" s="119" t="s">
        <v>83</v>
      </c>
      <c r="F8" s="119"/>
      <c r="G8" s="64">
        <v>80300</v>
      </c>
      <c r="H8" s="1"/>
      <c r="I8" s="38"/>
      <c r="J8" s="1"/>
      <c r="K8" s="1"/>
      <c r="L8" s="1"/>
      <c r="M8" s="1"/>
      <c r="O8" s="1"/>
      <c r="P8" s="1"/>
      <c r="Q8" s="1"/>
      <c r="R8" s="1"/>
    </row>
    <row r="9" spans="2:18" ht="24.75" customHeight="1" thickBot="1" x14ac:dyDescent="0.2">
      <c r="B9" s="28"/>
      <c r="C9" s="28"/>
      <c r="D9" s="120" t="str">
        <f>D4</f>
        <v>R-dA004-30</v>
      </c>
      <c r="E9" s="121"/>
      <c r="F9" s="121"/>
      <c r="G9" s="122"/>
      <c r="H9" s="1"/>
      <c r="I9" s="40"/>
      <c r="J9" s="1"/>
      <c r="K9" s="1"/>
      <c r="L9" s="1"/>
      <c r="M9" s="1"/>
      <c r="O9" s="1"/>
      <c r="P9" s="1"/>
      <c r="Q9" s="1"/>
      <c r="R9" s="1"/>
    </row>
    <row r="11" spans="2:18" ht="13.5" customHeight="1" x14ac:dyDescent="0.15">
      <c r="B11" s="1" t="s">
        <v>41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O11" s="24"/>
      <c r="P11" s="24"/>
      <c r="Q11" s="24"/>
      <c r="R11" s="24"/>
    </row>
    <row r="12" spans="2:18" ht="15" customHeight="1" x14ac:dyDescent="0.15">
      <c r="B12" s="29" t="s">
        <v>43</v>
      </c>
      <c r="C12" s="28"/>
      <c r="D12" s="86" t="s">
        <v>16</v>
      </c>
      <c r="E12" s="87"/>
      <c r="F12" s="87"/>
      <c r="G12" s="14">
        <v>160</v>
      </c>
      <c r="H12" s="1"/>
      <c r="I12" s="35"/>
      <c r="J12" s="1"/>
      <c r="K12" s="1"/>
      <c r="L12" s="1"/>
      <c r="M12" s="1"/>
      <c r="O12" s="1"/>
      <c r="P12" s="1"/>
      <c r="Q12" s="1"/>
      <c r="R12" s="1"/>
    </row>
    <row r="13" spans="2:18" ht="15.95" customHeight="1" x14ac:dyDescent="0.15">
      <c r="B13" s="29" t="s">
        <v>43</v>
      </c>
      <c r="C13" s="28"/>
      <c r="D13" s="110" t="s">
        <v>74</v>
      </c>
      <c r="E13" s="111"/>
      <c r="F13" s="111"/>
      <c r="G13" s="112"/>
      <c r="H13" s="1"/>
      <c r="I13" s="36"/>
      <c r="J13" s="1"/>
      <c r="K13" s="1"/>
      <c r="L13" s="1"/>
      <c r="M13" s="1"/>
      <c r="O13" s="1"/>
      <c r="P13" s="1"/>
      <c r="Q13" s="1"/>
      <c r="R13" s="1"/>
    </row>
    <row r="14" spans="2:18" ht="11.45" customHeight="1" x14ac:dyDescent="0.15">
      <c r="B14" s="108" t="s">
        <v>75</v>
      </c>
      <c r="C14" s="28"/>
      <c r="D14" s="77"/>
      <c r="E14" s="78"/>
      <c r="F14" s="75"/>
      <c r="G14" s="76"/>
      <c r="H14" s="1"/>
      <c r="I14" s="25"/>
      <c r="J14" s="1"/>
      <c r="K14" s="1"/>
      <c r="L14" s="1"/>
      <c r="M14" s="1"/>
      <c r="O14" s="1"/>
      <c r="P14" s="1"/>
      <c r="Q14" s="1"/>
      <c r="R14" s="1"/>
    </row>
    <row r="15" spans="2:18" ht="11.25" customHeight="1" x14ac:dyDescent="0.15">
      <c r="B15" s="108"/>
      <c r="C15" s="28"/>
      <c r="D15" s="6"/>
      <c r="E15" s="7"/>
      <c r="F15" s="7"/>
      <c r="G15" s="8"/>
      <c r="H15" s="1"/>
      <c r="I15" s="37"/>
      <c r="J15" s="1"/>
      <c r="K15" s="1"/>
      <c r="L15" s="1"/>
      <c r="M15" s="1"/>
      <c r="O15" s="1"/>
      <c r="P15" s="1"/>
      <c r="Q15" s="1"/>
      <c r="R15" s="1"/>
    </row>
    <row r="16" spans="2:18" ht="14.25" customHeight="1" x14ac:dyDescent="0.15">
      <c r="B16" s="29" t="s">
        <v>44</v>
      </c>
      <c r="C16" s="28"/>
      <c r="D16" s="67">
        <v>104224</v>
      </c>
      <c r="E16" s="68"/>
      <c r="F16" s="68"/>
      <c r="G16" s="9"/>
      <c r="H16" s="1"/>
      <c r="I16" s="26"/>
      <c r="J16" s="1"/>
      <c r="K16" s="1"/>
      <c r="L16" s="1"/>
      <c r="M16" s="1"/>
      <c r="O16" s="1"/>
      <c r="P16" s="1"/>
      <c r="Q16" s="1"/>
      <c r="R16" s="1"/>
    </row>
    <row r="17" spans="2:18" ht="14.25" customHeight="1" x14ac:dyDescent="0.15">
      <c r="B17" s="29" t="s">
        <v>44</v>
      </c>
      <c r="C17" s="28"/>
      <c r="D17" s="69">
        <v>20384</v>
      </c>
      <c r="E17" s="70"/>
      <c r="F17" s="70"/>
      <c r="G17" s="10" t="s">
        <v>22</v>
      </c>
      <c r="H17" s="1"/>
      <c r="I17" s="38"/>
      <c r="J17" s="1"/>
      <c r="K17" s="1"/>
      <c r="L17" s="1"/>
      <c r="M17" s="1"/>
      <c r="O17" s="1"/>
      <c r="P17" s="1"/>
      <c r="Q17" s="1"/>
      <c r="R17" s="1"/>
    </row>
    <row r="18" spans="2:18" ht="24.75" customHeight="1" x14ac:dyDescent="0.15">
      <c r="B18" s="29" t="s">
        <v>45</v>
      </c>
      <c r="C18" s="28"/>
      <c r="D18" s="100" t="s">
        <v>21</v>
      </c>
      <c r="E18" s="101"/>
      <c r="F18" s="101"/>
      <c r="G18" s="102"/>
      <c r="H18" s="1"/>
      <c r="I18" s="40"/>
      <c r="J18" s="1"/>
      <c r="K18" s="1"/>
      <c r="L18" s="1"/>
      <c r="M18" s="1"/>
      <c r="O18" s="1"/>
      <c r="P18" s="1"/>
      <c r="Q18" s="1"/>
      <c r="R18" s="1"/>
    </row>
    <row r="19" spans="2:18" ht="4.5" customHeight="1" x14ac:dyDescent="0.15">
      <c r="B19" s="28"/>
      <c r="C19" s="28"/>
      <c r="D19" s="30"/>
      <c r="E19" s="31"/>
      <c r="F19" s="31"/>
      <c r="G19" s="27"/>
      <c r="H19" s="1"/>
      <c r="I19" s="40"/>
      <c r="J19" s="1"/>
      <c r="K19" s="1"/>
      <c r="L19" s="1"/>
      <c r="M19" s="1"/>
      <c r="O19" s="42"/>
      <c r="P19" s="40"/>
      <c r="Q19" s="27"/>
      <c r="R19" s="27"/>
    </row>
    <row r="20" spans="2:18" x14ac:dyDescent="0.15">
      <c r="D20" s="109" t="s">
        <v>46</v>
      </c>
      <c r="E20" s="109"/>
      <c r="F20" s="109"/>
      <c r="G20" s="32" t="s">
        <v>47</v>
      </c>
      <c r="J20" s="1"/>
      <c r="K20" s="1"/>
      <c r="L20" s="1"/>
      <c r="M20" s="1"/>
    </row>
    <row r="22" spans="2:18" x14ac:dyDescent="0.15">
      <c r="B22" s="1" t="s">
        <v>48</v>
      </c>
      <c r="I22" s="1"/>
      <c r="J22" s="1"/>
      <c r="K22" s="1"/>
      <c r="L22" s="1"/>
      <c r="M22" s="1"/>
    </row>
    <row r="23" spans="2:18" ht="15" customHeight="1" x14ac:dyDescent="0.15">
      <c r="B23" s="28"/>
      <c r="C23" s="28"/>
      <c r="D23" s="86" t="s">
        <v>49</v>
      </c>
      <c r="E23" s="87"/>
      <c r="F23" s="87"/>
      <c r="G23" s="14" t="s">
        <v>40</v>
      </c>
      <c r="H23" s="1"/>
      <c r="I23" s="35"/>
      <c r="J23" s="1"/>
      <c r="K23" s="1"/>
      <c r="L23" s="1"/>
      <c r="M23" s="1"/>
      <c r="O23" s="1"/>
      <c r="P23" s="1"/>
      <c r="Q23" s="1"/>
      <c r="R23" s="1"/>
    </row>
    <row r="24" spans="2:18" ht="15.95" customHeight="1" x14ac:dyDescent="0.15">
      <c r="B24" s="28"/>
      <c r="C24" s="28"/>
      <c r="D24" s="110" t="s">
        <v>56</v>
      </c>
      <c r="E24" s="111"/>
      <c r="F24" s="111"/>
      <c r="G24" s="112"/>
      <c r="H24" s="1"/>
      <c r="I24" s="36"/>
      <c r="J24" s="1"/>
      <c r="K24" s="1"/>
      <c r="L24" s="1"/>
      <c r="M24" s="1"/>
      <c r="O24" s="1"/>
      <c r="P24" s="1"/>
      <c r="Q24" s="1"/>
      <c r="R24" s="1"/>
    </row>
    <row r="25" spans="2:18" ht="11.45" customHeight="1" x14ac:dyDescent="0.15">
      <c r="C25" s="28"/>
      <c r="D25" s="77"/>
      <c r="E25" s="78"/>
      <c r="F25" s="75"/>
      <c r="G25" s="76"/>
      <c r="H25" s="1"/>
      <c r="I25" s="25"/>
      <c r="J25" s="1"/>
      <c r="K25" s="1"/>
      <c r="L25" s="1"/>
      <c r="M25" s="1"/>
      <c r="O25" s="1"/>
      <c r="P25" s="1"/>
      <c r="Q25" s="1"/>
      <c r="R25" s="1"/>
    </row>
    <row r="26" spans="2:18" ht="11.25" customHeight="1" x14ac:dyDescent="0.15">
      <c r="C26" s="28"/>
      <c r="D26" s="6"/>
      <c r="E26" s="7"/>
      <c r="F26" s="7"/>
      <c r="G26" s="8"/>
      <c r="H26" s="1"/>
      <c r="I26" s="37"/>
      <c r="J26" s="1"/>
      <c r="K26" s="1"/>
      <c r="L26" s="1"/>
      <c r="M26" s="1"/>
      <c r="O26" s="1"/>
      <c r="P26" s="1"/>
      <c r="Q26" s="1"/>
      <c r="R26" s="1"/>
    </row>
    <row r="27" spans="2:18" ht="14.25" customHeight="1" x14ac:dyDescent="0.15">
      <c r="B27" s="28"/>
      <c r="C27" s="28"/>
      <c r="D27" s="67" t="s">
        <v>53</v>
      </c>
      <c r="E27" s="68"/>
      <c r="F27" s="68"/>
      <c r="G27" s="9"/>
      <c r="H27" s="1"/>
      <c r="I27" s="26"/>
      <c r="J27" s="1"/>
      <c r="K27" s="1"/>
      <c r="L27" s="1"/>
      <c r="M27" s="1"/>
      <c r="O27" s="1"/>
      <c r="P27" s="1"/>
      <c r="Q27" s="1"/>
      <c r="R27" s="1"/>
    </row>
    <row r="28" spans="2:18" ht="14.25" customHeight="1" x14ac:dyDescent="0.15">
      <c r="B28" s="28"/>
      <c r="C28" s="28"/>
      <c r="D28" s="69" t="s">
        <v>54</v>
      </c>
      <c r="E28" s="70"/>
      <c r="F28" s="70"/>
      <c r="G28" s="10" t="s">
        <v>55</v>
      </c>
      <c r="H28" s="1"/>
      <c r="I28" s="38"/>
      <c r="J28" s="1"/>
      <c r="K28" s="1"/>
      <c r="L28" s="1"/>
      <c r="M28" s="1"/>
      <c r="O28" s="1"/>
      <c r="P28" s="1"/>
      <c r="Q28" s="1"/>
      <c r="R28" s="1"/>
    </row>
    <row r="29" spans="2:18" ht="24.75" customHeight="1" x14ac:dyDescent="0.15">
      <c r="B29" s="28"/>
      <c r="C29" s="28"/>
      <c r="D29" s="100" t="s">
        <v>56</v>
      </c>
      <c r="E29" s="101"/>
      <c r="F29" s="101"/>
      <c r="G29" s="102"/>
      <c r="H29" s="1"/>
      <c r="I29" s="40"/>
      <c r="J29" s="1"/>
      <c r="K29" s="1"/>
      <c r="L29" s="1"/>
      <c r="M29" s="1"/>
      <c r="O29" s="1"/>
      <c r="P29" s="1"/>
      <c r="Q29" s="1"/>
      <c r="R29" s="1"/>
    </row>
    <row r="30" spans="2:18" x14ac:dyDescent="0.15">
      <c r="I30" s="1"/>
      <c r="J30" s="1"/>
      <c r="K30" s="1"/>
      <c r="L30" s="1"/>
      <c r="M30" s="1"/>
    </row>
    <row r="31" spans="2:18" x14ac:dyDescent="0.15">
      <c r="D31" s="1"/>
      <c r="E31" s="1"/>
      <c r="F31" s="1"/>
      <c r="G31" s="1"/>
      <c r="I31" s="1"/>
      <c r="J31" s="1"/>
      <c r="K31" s="1"/>
      <c r="L31" s="1"/>
    </row>
    <row r="32" spans="2:18" x14ac:dyDescent="0.15">
      <c r="B32" s="33" t="s">
        <v>58</v>
      </c>
      <c r="C32" s="33"/>
      <c r="D32" s="33"/>
      <c r="E32" s="1"/>
      <c r="F32" s="1"/>
      <c r="G32" s="1"/>
      <c r="I32" s="1"/>
      <c r="J32" s="1"/>
      <c r="K32" s="1"/>
      <c r="L32" s="1"/>
    </row>
    <row r="33" spans="4:11" x14ac:dyDescent="0.15">
      <c r="D33" s="33" t="s">
        <v>49</v>
      </c>
      <c r="F33" s="33"/>
      <c r="G33" s="1"/>
    </row>
    <row r="34" spans="4:11" x14ac:dyDescent="0.15">
      <c r="E34" s="33" t="s">
        <v>57</v>
      </c>
      <c r="F34" s="11"/>
      <c r="G34" s="1"/>
    </row>
    <row r="35" spans="4:11" x14ac:dyDescent="0.15">
      <c r="D35" s="33"/>
      <c r="E35" s="33" t="s">
        <v>59</v>
      </c>
      <c r="F35" s="33"/>
    </row>
    <row r="36" spans="4:11" x14ac:dyDescent="0.15">
      <c r="D36" s="33"/>
      <c r="E36" s="33" t="s">
        <v>62</v>
      </c>
      <c r="F36" s="33"/>
    </row>
    <row r="37" spans="4:11" x14ac:dyDescent="0.15">
      <c r="D37" s="33"/>
      <c r="E37" s="33" t="s">
        <v>60</v>
      </c>
      <c r="F37" s="33"/>
      <c r="G37" s="1"/>
      <c r="H37" s="1"/>
    </row>
    <row r="38" spans="4:11" x14ac:dyDescent="0.15">
      <c r="D38" s="33"/>
      <c r="E38" s="33" t="s">
        <v>61</v>
      </c>
      <c r="F38" s="33"/>
      <c r="G38" s="1"/>
      <c r="H38" s="1"/>
    </row>
    <row r="39" spans="4:11" x14ac:dyDescent="0.15">
      <c r="D39" s="33"/>
      <c r="E39" s="33" t="s">
        <v>63</v>
      </c>
      <c r="F39" s="33"/>
      <c r="G39" s="1"/>
    </row>
    <row r="40" spans="4:11" x14ac:dyDescent="0.15">
      <c r="D40" s="33" t="s">
        <v>40</v>
      </c>
      <c r="F40" s="11"/>
      <c r="G40" s="1"/>
      <c r="H40" s="1"/>
    </row>
    <row r="41" spans="4:11" x14ac:dyDescent="0.15">
      <c r="D41" s="33"/>
      <c r="E41" s="33" t="s">
        <v>64</v>
      </c>
      <c r="F41" s="33"/>
      <c r="G41" s="1"/>
      <c r="H41" s="1"/>
      <c r="K41" s="1"/>
    </row>
    <row r="42" spans="4:11" x14ac:dyDescent="0.15">
      <c r="E42" s="33" t="s">
        <v>65</v>
      </c>
      <c r="F42" s="33"/>
      <c r="G42" s="1"/>
      <c r="H42" s="1"/>
      <c r="K42" s="1"/>
    </row>
    <row r="43" spans="4:11" x14ac:dyDescent="0.15">
      <c r="D43" s="33" t="s">
        <v>66</v>
      </c>
      <c r="E43" s="1"/>
      <c r="F43" s="33"/>
      <c r="G43" s="1"/>
      <c r="H43" s="39"/>
      <c r="K43" s="1"/>
    </row>
    <row r="44" spans="4:11" x14ac:dyDescent="0.15">
      <c r="E44" s="33" t="s">
        <v>67</v>
      </c>
      <c r="F44" s="33"/>
      <c r="G44" s="1"/>
      <c r="H44" s="41"/>
    </row>
    <row r="45" spans="4:11" x14ac:dyDescent="0.15">
      <c r="D45" s="33" t="s">
        <v>55</v>
      </c>
      <c r="E45" s="1"/>
      <c r="F45" s="1"/>
      <c r="G45" s="1"/>
      <c r="H45" s="41"/>
    </row>
    <row r="46" spans="4:11" x14ac:dyDescent="0.15">
      <c r="D46" s="33"/>
      <c r="E46" s="33" t="s">
        <v>68</v>
      </c>
      <c r="F46" s="1"/>
      <c r="G46" s="1"/>
      <c r="H46" s="1"/>
    </row>
    <row r="47" spans="4:11" x14ac:dyDescent="0.15">
      <c r="D47" s="33" t="s">
        <v>69</v>
      </c>
      <c r="E47" s="1"/>
      <c r="F47" s="33"/>
      <c r="G47" s="1"/>
      <c r="H47" s="1"/>
    </row>
    <row r="48" spans="4:11" x14ac:dyDescent="0.15">
      <c r="E48" s="1"/>
      <c r="F48" s="1"/>
      <c r="G48" s="1"/>
      <c r="H48" s="1"/>
    </row>
    <row r="49" spans="2:8" x14ac:dyDescent="0.15">
      <c r="B49" s="33" t="s">
        <v>72</v>
      </c>
      <c r="D49" s="1"/>
      <c r="E49" s="1"/>
      <c r="F49" s="33"/>
      <c r="H49" s="1"/>
    </row>
    <row r="50" spans="2:8" x14ac:dyDescent="0.15">
      <c r="D50" s="33" t="s">
        <v>70</v>
      </c>
      <c r="E50" s="1"/>
      <c r="F50" s="33"/>
    </row>
    <row r="51" spans="2:8" x14ac:dyDescent="0.15">
      <c r="D51" s="1"/>
      <c r="E51" s="1"/>
      <c r="F51" s="1"/>
    </row>
    <row r="52" spans="2:8" x14ac:dyDescent="0.15">
      <c r="D52" s="1"/>
    </row>
  </sheetData>
  <mergeCells count="20">
    <mergeCell ref="B14:B15"/>
    <mergeCell ref="D14:E14"/>
    <mergeCell ref="F14:G14"/>
    <mergeCell ref="D3:F3"/>
    <mergeCell ref="D20:F20"/>
    <mergeCell ref="D23:F23"/>
    <mergeCell ref="D24:G24"/>
    <mergeCell ref="D9:G9"/>
    <mergeCell ref="D12:F12"/>
    <mergeCell ref="D13:G13"/>
    <mergeCell ref="D4:G5"/>
    <mergeCell ref="E8:F8"/>
    <mergeCell ref="D16:F16"/>
    <mergeCell ref="D17:F17"/>
    <mergeCell ref="D18:G18"/>
    <mergeCell ref="D25:E25"/>
    <mergeCell ref="F25:G25"/>
    <mergeCell ref="D27:F27"/>
    <mergeCell ref="D28:F28"/>
    <mergeCell ref="D29:G29"/>
  </mergeCells>
  <phoneticPr fontId="2"/>
  <conditionalFormatting sqref="D7:D8">
    <cfRule type="expression" dxfId="556" priority="7">
      <formula>D7="K18PG"</formula>
    </cfRule>
    <cfRule type="expression" dxfId="555" priority="6">
      <formula>OR(D7="Pt900/K18",D7="Pt900/K18/K18WG")</formula>
    </cfRule>
    <cfRule type="expression" dxfId="554" priority="8">
      <formula>D7="K18WG"</formula>
    </cfRule>
    <cfRule type="expression" dxfId="553" priority="9">
      <formula>D7="K18"</formula>
    </cfRule>
  </conditionalFormatting>
  <conditionalFormatting sqref="D3:G3 D4">
    <cfRule type="expression" dxfId="552" priority="13">
      <formula>D3="K18"</formula>
    </cfRule>
    <cfRule type="expression" dxfId="551" priority="10">
      <formula>OR(D3="Pt900/K18",D3="Pt900/K18/K18WG")</formula>
    </cfRule>
    <cfRule type="expression" dxfId="550" priority="11">
      <formula>D3="K18PG"</formula>
    </cfRule>
    <cfRule type="expression" dxfId="549" priority="12">
      <formula>D3="K18WG"</formula>
    </cfRule>
  </conditionalFormatting>
  <conditionalFormatting sqref="D9:G9">
    <cfRule type="expression" dxfId="548" priority="15">
      <formula>OR(D9="Pt900/K18",D9="Pt900/K18/K18WG")</formula>
    </cfRule>
    <cfRule type="expression" dxfId="547" priority="16">
      <formula>D9="K18PG"</formula>
    </cfRule>
    <cfRule type="expression" dxfId="546" priority="17">
      <formula>D9="K18WG"</formula>
    </cfRule>
    <cfRule type="expression" dxfId="545" priority="18">
      <formula>D9="K18"</formula>
    </cfRule>
  </conditionalFormatting>
  <conditionalFormatting sqref="D12:G12 D13 D14:G19">
    <cfRule type="expression" dxfId="544" priority="44">
      <formula>D12="K18"</formula>
    </cfRule>
    <cfRule type="expression" dxfId="543" priority="45">
      <formula>D12="K18WG"</formula>
    </cfRule>
    <cfRule type="expression" dxfId="542" priority="46">
      <formula>D12="K18PG"</formula>
    </cfRule>
    <cfRule type="expression" dxfId="541" priority="47">
      <formula>OR(D12="Pt900/K18",D12="Pt900/K18/K18PG")</formula>
    </cfRule>
  </conditionalFormatting>
  <conditionalFormatting sqref="D23:G23 D24 D25:G29">
    <cfRule type="expression" dxfId="540" priority="37">
      <formula>OR(D23="Pt900/K18",D23="Pt900/K18/K18PG")</formula>
    </cfRule>
    <cfRule type="expression" dxfId="539" priority="35">
      <formula>D23="K18WG"</formula>
    </cfRule>
    <cfRule type="expression" dxfId="538" priority="36">
      <formula>D23="K18PG"</formula>
    </cfRule>
    <cfRule type="expression" dxfId="537" priority="34">
      <formula>D23="K18"</formula>
    </cfRule>
  </conditionalFormatting>
  <conditionalFormatting sqref="D11:M11 O11:R11 I12:I19 O19:R19">
    <cfRule type="expression" dxfId="536" priority="49">
      <formula>D11="K18"</formula>
    </cfRule>
    <cfRule type="expression" dxfId="535" priority="50">
      <formula>D11="K18WG"</formula>
    </cfRule>
    <cfRule type="expression" dxfId="534" priority="51">
      <formula>D11="K18PG"</formula>
    </cfRule>
    <cfRule type="expression" dxfId="533" priority="52">
      <formula>OR(D11="Pt900/K18",D11="Pt900/K18/K18PG")</formula>
    </cfRule>
  </conditionalFormatting>
  <conditionalFormatting sqref="E7:G7">
    <cfRule type="expression" dxfId="532" priority="2">
      <formula>OR(E7="Pt900/K18",E7="Pt900/K18/K18WG")</formula>
    </cfRule>
    <cfRule type="expression" dxfId="531" priority="3">
      <formula>E7="K18PG"</formula>
    </cfRule>
    <cfRule type="expression" dxfId="530" priority="4">
      <formula>E7="K18WG"</formula>
    </cfRule>
    <cfRule type="expression" dxfId="529" priority="5">
      <formula>E7="K18"</formula>
    </cfRule>
  </conditionalFormatting>
  <conditionalFormatting sqref="G3">
    <cfRule type="expression" dxfId="528" priority="23">
      <formula>D8="K18"</formula>
    </cfRule>
    <cfRule type="expression" dxfId="527" priority="19">
      <formula>OR(G3="Pt900/K18",G3="Pt900/K18/K18WG")</formula>
    </cfRule>
    <cfRule type="expression" dxfId="526" priority="20">
      <formula>G3="K18PG"</formula>
    </cfRule>
    <cfRule type="expression" dxfId="525" priority="21">
      <formula>G3="K18WG"</formula>
    </cfRule>
    <cfRule type="expression" dxfId="524" priority="22">
      <formula>G3="K18"</formula>
    </cfRule>
  </conditionalFormatting>
  <conditionalFormatting sqref="G7">
    <cfRule type="expression" dxfId="523" priority="1">
      <formula>D7="K18"</formula>
    </cfRule>
  </conditionalFormatting>
  <conditionalFormatting sqref="G9">
    <cfRule type="expression" dxfId="522" priority="14">
      <formula>D9="K18"</formula>
    </cfRule>
  </conditionalFormatting>
  <conditionalFormatting sqref="G12 G14:G19">
    <cfRule type="expression" dxfId="521" priority="48">
      <formula>D12="K18"</formula>
    </cfRule>
  </conditionalFormatting>
  <conditionalFormatting sqref="G23 G25:G29">
    <cfRule type="expression" dxfId="520" priority="38">
      <formula>D23="K18"</formula>
    </cfRule>
  </conditionalFormatting>
  <conditionalFormatting sqref="G11:M11 I12:I19">
    <cfRule type="expression" dxfId="519" priority="53">
      <formula>D11="K18"</formula>
    </cfRule>
  </conditionalFormatting>
  <conditionalFormatting sqref="I3:I9">
    <cfRule type="expression" dxfId="518" priority="31">
      <formula>I3="K18PG"</formula>
    </cfRule>
    <cfRule type="expression" dxfId="517" priority="32">
      <formula>OR(I3="Pt900/K18",I3="Pt900/K18/K18PG")</formula>
    </cfRule>
    <cfRule type="expression" dxfId="516" priority="33">
      <formula>F3="K18"</formula>
    </cfRule>
    <cfRule type="expression" dxfId="515" priority="29">
      <formula>I3="K18"</formula>
    </cfRule>
    <cfRule type="expression" dxfId="514" priority="30">
      <formula>I3="K18WG"</formula>
    </cfRule>
  </conditionalFormatting>
  <conditionalFormatting sqref="I23:I29">
    <cfRule type="expression" dxfId="513" priority="39">
      <formula>I23="K18"</formula>
    </cfRule>
    <cfRule type="expression" dxfId="512" priority="40">
      <formula>I23="K18WG"</formula>
    </cfRule>
    <cfRule type="expression" dxfId="511" priority="41">
      <formula>I23="K18PG"</formula>
    </cfRule>
    <cfRule type="expression" dxfId="510" priority="43">
      <formula>F23="K18"</formula>
    </cfRule>
    <cfRule type="expression" dxfId="509" priority="42">
      <formula>OR(I23="Pt900/K18",I23="Pt900/K18/K18PG")</formula>
    </cfRule>
  </conditionalFormatting>
  <conditionalFormatting sqref="O11:R11 O19:R19">
    <cfRule type="expression" dxfId="508" priority="54">
      <formula>#REF!="K18"</formula>
    </cfRule>
  </conditionalFormatting>
  <pageMargins left="0.7" right="0.7" top="0.75" bottom="0.75" header="0.3" footer="0.3"/>
  <pageSetup paperSize="9" orientation="landscape" horizontalDpi="360" verticalDpi="360" r:id="rId1"/>
  <headerFooter>
    <oddFooter>&amp;R&amp;A&amp;P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6472E-60CB-4BD0-8FD8-ADA8F4F1F060}">
  <dimension ref="B1:AM54"/>
  <sheetViews>
    <sheetView topLeftCell="A3" zoomScale="115" zoomScaleNormal="115" workbookViewId="0">
      <selection activeCell="AH17" sqref="AH17"/>
    </sheetView>
  </sheetViews>
  <sheetFormatPr defaultColWidth="9" defaultRowHeight="13.5" x14ac:dyDescent="0.15"/>
  <cols>
    <col min="1" max="1" width="2.75" style="1" customWidth="1"/>
    <col min="2" max="2" width="3.25" style="12" customWidth="1"/>
    <col min="3" max="4" width="2.5" style="12" customWidth="1"/>
    <col min="5" max="5" width="4.5" style="11" customWidth="1"/>
    <col min="6" max="6" width="3.25" style="12" customWidth="1"/>
    <col min="7" max="8" width="2.5" style="12" customWidth="1"/>
    <col min="9" max="9" width="4.5" style="11" customWidth="1"/>
    <col min="10" max="10" width="3.25" style="12" customWidth="1"/>
    <col min="11" max="12" width="2.5" style="12" customWidth="1"/>
    <col min="13" max="13" width="4.5" style="11" customWidth="1"/>
    <col min="14" max="14" width="3.25" style="12" customWidth="1"/>
    <col min="15" max="16" width="2.5" style="12" customWidth="1"/>
    <col min="17" max="17" width="4.5" style="11" customWidth="1"/>
    <col min="18" max="18" width="3.25" style="12" customWidth="1"/>
    <col min="19" max="20" width="2.5" style="12" customWidth="1"/>
    <col min="21" max="21" width="4.5" style="11" customWidth="1"/>
    <col min="22" max="22" width="3.25" style="12" customWidth="1"/>
    <col min="23" max="24" width="2.5" style="12" customWidth="1"/>
    <col min="25" max="25" width="4.5" style="11" customWidth="1"/>
    <col min="26" max="26" width="3.25" style="12" customWidth="1"/>
    <col min="27" max="28" width="2.5" style="12" customWidth="1"/>
    <col min="29" max="29" width="4.5" style="11" customWidth="1"/>
    <col min="30" max="30" width="3.25" style="12" customWidth="1"/>
    <col min="31" max="32" width="2.5" style="12" customWidth="1"/>
    <col min="33" max="33" width="4.5" style="11" customWidth="1"/>
    <col min="34" max="34" width="2.75" style="1" customWidth="1"/>
    <col min="35" max="16384" width="9" style="1"/>
  </cols>
  <sheetData>
    <row r="1" spans="2:39" ht="14.25" hidden="1" thickBot="1" x14ac:dyDescent="0.2">
      <c r="B1" s="82">
        <f>(IF(LEFT(B8,2)="50",RIGHT(B8,LEN(B8)-2)*100000,IF(LEFT(B8,2)="40",RIGHT(B8,LEN(B8)-2)*10000,IF(LEFT(B8,2)="30",RIGHT(B8,LEN(B8)-2)*1000,IF(LEFT(B8,2)="20",RIGHT(B8,LEN(B8)-2)*100,IF(LEFT(B8,2)="10",RIGHT(B8,LEN(B8)-2)*10,""))))))*1.1</f>
        <v>28105.000000000004</v>
      </c>
      <c r="C1" s="82"/>
      <c r="D1" s="82"/>
      <c r="E1" s="82"/>
      <c r="F1" s="82" t="e">
        <f>(IF(LEFT(F8,2)="50",RIGHT(F8,LEN(F8)-2)*100000,IF(LEFT(F8,2)="40",RIGHT(F8,LEN(F8)-2)*10000,IF(LEFT(F8,2)="30",RIGHT(F8,LEN(F8)-2)*1000,IF(LEFT(F8,2)="20",RIGHT(F8,LEN(F8)-2)*100,IF(LEFT(F8,2)="10",RIGHT(F8,LEN(F8)-2)*10,""))))))*1.1</f>
        <v>#VALUE!</v>
      </c>
      <c r="G1" s="82"/>
      <c r="H1" s="82"/>
      <c r="I1" s="82"/>
      <c r="J1" s="82" t="e">
        <f>(IF(LEFT(J8,2)="50",RIGHT(J8,LEN(J8)-2)*100000,IF(LEFT(J8,2)="40",RIGHT(J8,LEN(J8)-2)*10000,IF(LEFT(J8,2)="30",RIGHT(J8,LEN(J8)-2)*1000,IF(LEFT(J8,2)="20",RIGHT(J8,LEN(J8)-2)*100,IF(LEFT(J8,2)="10",RIGHT(J8,LEN(J8)-2)*10,""))))))*1.1</f>
        <v>#VALUE!</v>
      </c>
      <c r="K1" s="82"/>
      <c r="L1" s="82"/>
      <c r="M1" s="82"/>
      <c r="N1" s="82" t="e">
        <f>(IF(LEFT(N8,2)="50",RIGHT(N8,LEN(N8)-2)*100000,IF(LEFT(N8,2)="40",RIGHT(N8,LEN(N8)-2)*10000,IF(LEFT(N8,2)="30",RIGHT(N8,LEN(N8)-2)*1000,IF(LEFT(N8,2)="20",RIGHT(N8,LEN(N8)-2)*100,IF(LEFT(N8,2)="10",RIGHT(N8,LEN(N8)-2)*10,""))))))*1.1</f>
        <v>#VALUE!</v>
      </c>
      <c r="O1" s="82"/>
      <c r="P1" s="82"/>
      <c r="Q1" s="82"/>
      <c r="R1" s="82" t="e">
        <f>(IF(LEFT(R8,2)="50",RIGHT(R8,LEN(R8)-2)*100000,IF(LEFT(R8,2)="40",RIGHT(R8,LEN(R8)-2)*10000,IF(LEFT(R8,2)="30",RIGHT(R8,LEN(R8)-2)*1000,IF(LEFT(R8,2)="20",RIGHT(R8,LEN(R8)-2)*100,IF(LEFT(R8,2)="10",RIGHT(R8,LEN(R8)-2)*10,""))))))*1.1</f>
        <v>#VALUE!</v>
      </c>
      <c r="S1" s="82"/>
      <c r="T1" s="82"/>
      <c r="U1" s="82"/>
      <c r="V1" s="82" t="e">
        <f>(IF(LEFT(V8,2)="50",RIGHT(V8,LEN(V8)-2)*100000,IF(LEFT(V8,2)="40",RIGHT(V8,LEN(V8)-2)*10000,IF(LEFT(V8,2)="30",RIGHT(V8,LEN(V8)-2)*1000,IF(LEFT(V8,2)="20",RIGHT(V8,LEN(V8)-2)*100,IF(LEFT(V8,2)="10",RIGHT(V8,LEN(V8)-2)*10,""))))))*1.1</f>
        <v>#VALUE!</v>
      </c>
      <c r="W1" s="82"/>
      <c r="X1" s="82"/>
      <c r="Y1" s="82"/>
      <c r="Z1" s="82" t="e">
        <f>(IF(LEFT(Z8,2)="50",RIGHT(Z8,LEN(Z8)-2)*100000,IF(LEFT(Z8,2)="40",RIGHT(Z8,LEN(Z8)-2)*10000,IF(LEFT(Z8,2)="30",RIGHT(Z8,LEN(Z8)-2)*1000,IF(LEFT(Z8,2)="20",RIGHT(Z8,LEN(Z8)-2)*100,IF(LEFT(Z8,2)="10",RIGHT(Z8,LEN(Z8)-2)*10,""))))))*1.1</f>
        <v>#VALUE!</v>
      </c>
      <c r="AA1" s="82"/>
      <c r="AB1" s="82"/>
      <c r="AC1" s="82"/>
      <c r="AD1" s="82" t="e">
        <f>(IF(LEFT(AD8,2)="50",RIGHT(AD8,LEN(AD8)-2)*100000,IF(LEFT(AD8,2)="40",RIGHT(AD8,LEN(AD8)-2)*10000,IF(LEFT(AD8,2)="30",RIGHT(AD8,LEN(AD8)-2)*1000,IF(LEFT(AD8,2)="20",RIGHT(AD8,LEN(AD8)-2)*100,IF(LEFT(AD8,2)="10",RIGHT(AD8,LEN(AD8)-2)*10,""))))))*1.1</f>
        <v>#VALUE!</v>
      </c>
      <c r="AE1" s="82"/>
      <c r="AF1" s="82"/>
      <c r="AG1" s="82"/>
    </row>
    <row r="2" spans="2:39" ht="14.25" hidden="1" thickBot="1" x14ac:dyDescent="0.2">
      <c r="B2" s="82">
        <f>IF(ISERROR(ROUND(B1,-1)),"",ROUND(B1,-1))</f>
        <v>28110</v>
      </c>
      <c r="C2" s="82"/>
      <c r="D2" s="82"/>
      <c r="E2" s="82"/>
      <c r="F2" s="82" t="str">
        <f>IF(ISERROR(ROUND(F1,-1)),"",ROUND(F1,-1))</f>
        <v/>
      </c>
      <c r="G2" s="82"/>
      <c r="H2" s="82"/>
      <c r="I2" s="82"/>
      <c r="J2" s="82" t="str">
        <f>IF(ISERROR(ROUND(J1,-1)),"",ROUND(J1,-1))</f>
        <v/>
      </c>
      <c r="K2" s="82"/>
      <c r="L2" s="82"/>
      <c r="M2" s="82"/>
      <c r="N2" s="82" t="str">
        <f>IF(ISERROR(ROUND(N1,-1)),"",ROUND(N1,-1))</f>
        <v/>
      </c>
      <c r="O2" s="82"/>
      <c r="P2" s="82"/>
      <c r="Q2" s="82"/>
      <c r="R2" s="82" t="str">
        <f>IF(ISERROR(ROUND(R1,-1)),"",ROUND(R1,-1))</f>
        <v/>
      </c>
      <c r="S2" s="82"/>
      <c r="T2" s="82"/>
      <c r="U2" s="82"/>
      <c r="V2" s="82" t="str">
        <f>IF(ISERROR(ROUND(V1,-1)),"",ROUND(V1,-1))</f>
        <v/>
      </c>
      <c r="W2" s="82"/>
      <c r="X2" s="82"/>
      <c r="Y2" s="82"/>
      <c r="Z2" s="82" t="str">
        <f>IF(ISERROR(ROUND(Z1,-1)),"",ROUND(Z1,-1))</f>
        <v/>
      </c>
      <c r="AA2" s="82"/>
      <c r="AB2" s="82"/>
      <c r="AC2" s="82"/>
      <c r="AD2" s="82" t="str">
        <f>IF(ISERROR(ROUND(AD1,-1)),"",ROUND(AD1,-1))</f>
        <v/>
      </c>
      <c r="AE2" s="82"/>
      <c r="AF2" s="82"/>
      <c r="AG2" s="82"/>
    </row>
    <row r="3" spans="2:39" ht="14.1" customHeight="1" x14ac:dyDescent="0.15">
      <c r="B3" s="147" t="s">
        <v>0</v>
      </c>
      <c r="C3" s="145"/>
      <c r="D3" s="145"/>
      <c r="E3" s="43">
        <v>0.1</v>
      </c>
      <c r="F3" s="144"/>
      <c r="G3" s="145"/>
      <c r="H3" s="145"/>
      <c r="I3" s="43"/>
      <c r="J3" s="144"/>
      <c r="K3" s="145"/>
      <c r="L3" s="145"/>
      <c r="M3" s="43"/>
      <c r="N3" s="144"/>
      <c r="O3" s="145"/>
      <c r="P3" s="145"/>
      <c r="Q3" s="43"/>
      <c r="R3" s="144"/>
      <c r="S3" s="145"/>
      <c r="T3" s="145"/>
      <c r="U3" s="43"/>
      <c r="V3" s="144"/>
      <c r="W3" s="145"/>
      <c r="X3" s="145"/>
      <c r="Y3" s="43"/>
      <c r="Z3" s="144"/>
      <c r="AA3" s="145"/>
      <c r="AB3" s="145"/>
      <c r="AC3" s="44"/>
      <c r="AD3" s="139"/>
      <c r="AE3" s="139"/>
      <c r="AF3" s="139"/>
      <c r="AG3" s="45"/>
      <c r="AJ3" s="3"/>
    </row>
    <row r="4" spans="2:39" ht="15.95" customHeight="1" x14ac:dyDescent="0.15">
      <c r="B4" s="46" t="s">
        <v>1</v>
      </c>
      <c r="C4" s="88">
        <f>D5*1.1</f>
        <v>110000.00000000001</v>
      </c>
      <c r="D4" s="88"/>
      <c r="E4" s="146"/>
      <c r="F4" s="13" t="s">
        <v>1</v>
      </c>
      <c r="G4" s="79">
        <f t="shared" ref="G4" si="0">H5*1.1</f>
        <v>0</v>
      </c>
      <c r="H4" s="79"/>
      <c r="I4" s="80"/>
      <c r="J4" s="13" t="s">
        <v>1</v>
      </c>
      <c r="K4" s="79">
        <f t="shared" ref="K4" si="1">L5*1.1</f>
        <v>0</v>
      </c>
      <c r="L4" s="79"/>
      <c r="M4" s="80"/>
      <c r="N4" s="13" t="s">
        <v>1</v>
      </c>
      <c r="O4" s="79">
        <f t="shared" ref="O4" si="2">P5*1.1</f>
        <v>0</v>
      </c>
      <c r="P4" s="79"/>
      <c r="Q4" s="80"/>
      <c r="R4" s="13" t="s">
        <v>1</v>
      </c>
      <c r="S4" s="79">
        <f t="shared" ref="S4" si="3">T5*1.1</f>
        <v>0</v>
      </c>
      <c r="T4" s="79"/>
      <c r="U4" s="80"/>
      <c r="V4" s="13" t="s">
        <v>1</v>
      </c>
      <c r="W4" s="79">
        <f t="shared" ref="W4" si="4">X5*1.1</f>
        <v>0</v>
      </c>
      <c r="X4" s="79"/>
      <c r="Y4" s="80"/>
      <c r="Z4" s="13"/>
      <c r="AA4" s="79"/>
      <c r="AB4" s="79"/>
      <c r="AC4" s="79"/>
      <c r="AD4" s="47"/>
      <c r="AE4" s="134"/>
      <c r="AF4" s="134"/>
      <c r="AG4" s="134"/>
      <c r="AI4" s="4" t="s">
        <v>3</v>
      </c>
      <c r="AJ4" s="5"/>
    </row>
    <row r="5" spans="2:39" ht="11.45" customHeight="1" x14ac:dyDescent="0.15">
      <c r="B5" s="143" t="s">
        <v>2</v>
      </c>
      <c r="C5" s="78"/>
      <c r="D5" s="75">
        <v>100000</v>
      </c>
      <c r="E5" s="76"/>
      <c r="F5" s="77" t="s">
        <v>2</v>
      </c>
      <c r="G5" s="78"/>
      <c r="H5" s="75"/>
      <c r="I5" s="76"/>
      <c r="J5" s="77" t="s">
        <v>2</v>
      </c>
      <c r="K5" s="78"/>
      <c r="L5" s="75"/>
      <c r="M5" s="76"/>
      <c r="N5" s="77" t="s">
        <v>2</v>
      </c>
      <c r="O5" s="78"/>
      <c r="P5" s="75"/>
      <c r="Q5" s="76"/>
      <c r="R5" s="77" t="s">
        <v>2</v>
      </c>
      <c r="S5" s="78"/>
      <c r="T5" s="75"/>
      <c r="U5" s="76"/>
      <c r="V5" s="77" t="s">
        <v>2</v>
      </c>
      <c r="W5" s="78"/>
      <c r="X5" s="75"/>
      <c r="Y5" s="76"/>
      <c r="Z5" s="77"/>
      <c r="AA5" s="78"/>
      <c r="AB5" s="75"/>
      <c r="AC5" s="75"/>
      <c r="AD5" s="135"/>
      <c r="AE5" s="135"/>
      <c r="AF5" s="136"/>
      <c r="AG5" s="136"/>
      <c r="AJ5" s="5"/>
    </row>
    <row r="6" spans="2:39" ht="9.9499999999999993" customHeight="1" x14ac:dyDescent="0.15">
      <c r="B6" s="48"/>
      <c r="C6" s="7"/>
      <c r="D6" s="7"/>
      <c r="E6" s="8"/>
      <c r="F6" s="6"/>
      <c r="G6" s="7"/>
      <c r="H6" s="7"/>
      <c r="I6" s="8"/>
      <c r="J6" s="6"/>
      <c r="K6" s="7"/>
      <c r="L6" s="7"/>
      <c r="M6" s="8"/>
      <c r="N6" s="6"/>
      <c r="O6" s="7"/>
      <c r="P6" s="7"/>
      <c r="Q6" s="8"/>
      <c r="R6" s="6"/>
      <c r="S6" s="7"/>
      <c r="T6" s="7"/>
      <c r="U6" s="8"/>
      <c r="V6" s="6"/>
      <c r="W6" s="7"/>
      <c r="X6" s="7"/>
      <c r="Y6" s="8"/>
      <c r="Z6" s="6"/>
      <c r="AA6" s="7"/>
      <c r="AB6" s="7"/>
      <c r="AC6" s="18"/>
      <c r="AD6" s="7"/>
      <c r="AE6" s="7"/>
      <c r="AF6" s="7"/>
      <c r="AG6" s="49"/>
      <c r="AJ6" s="5"/>
    </row>
    <row r="7" spans="2:39" ht="13.5" customHeight="1" x14ac:dyDescent="0.15">
      <c r="B7" s="142" t="str">
        <f>IF(B2="","",IF(RIGHT(B2,5)="00000","50"&amp;LEFT(B2,LEN(B2)-5),IF(RIGHT(B2,4)="0000","40"&amp;LEFT(B2,LEN(B2)-4),IF(RIGHT(B2,3)="000","30"&amp;LEFT(B2,LEN(B2)-3),IF(RIGHT(B2,2)="00","20"&amp;LEFT(B2,LEN(B2)-2),IF(RIGHT(B2,1)="0","10"&amp;LEFT(B2,LEN(B2)-1),"error"))))))</f>
        <v>102811</v>
      </c>
      <c r="C7" s="94"/>
      <c r="D7" s="94"/>
      <c r="E7" s="9"/>
      <c r="F7" s="67" t="str">
        <f>IF(F2="","",IF(RIGHT(F2,5)="00000","50"&amp;LEFT(F2,LEN(F2)-5),IF(RIGHT(F2,4)="0000","40"&amp;LEFT(F2,LEN(F2)-4),IF(RIGHT(F2,3)="000","30"&amp;LEFT(F2,LEN(F2)-3),IF(RIGHT(F2,2)="00","20"&amp;LEFT(F2,LEN(F2)-2),IF(RIGHT(F2,1)="0","10"&amp;LEFT(F2,LEN(F2)-1),"error"))))))</f>
        <v/>
      </c>
      <c r="G7" s="68"/>
      <c r="H7" s="68"/>
      <c r="I7" s="9"/>
      <c r="J7" s="67" t="str">
        <f t="shared" ref="J7" si="5">IF(J2="","",IF(RIGHT(J2,5)="00000","50"&amp;LEFT(J2,LEN(J2)-5),IF(RIGHT(J2,4)="0000","40"&amp;LEFT(J2,LEN(J2)-4),IF(RIGHT(J2,3)="000","30"&amp;LEFT(J2,LEN(J2)-3),IF(RIGHT(J2,2)="00","20"&amp;LEFT(J2,LEN(J2)-2),IF(RIGHT(J2,1)="0","10"&amp;LEFT(J2,LEN(J2)-1),"error"))))))</f>
        <v/>
      </c>
      <c r="K7" s="68"/>
      <c r="L7" s="68"/>
      <c r="M7" s="9"/>
      <c r="N7" s="67" t="str">
        <f t="shared" ref="N7" si="6">IF(N2="","",IF(RIGHT(N2,5)="00000","50"&amp;LEFT(N2,LEN(N2)-5),IF(RIGHT(N2,4)="0000","40"&amp;LEFT(N2,LEN(N2)-4),IF(RIGHT(N2,3)="000","30"&amp;LEFT(N2,LEN(N2)-3),IF(RIGHT(N2,2)="00","20"&amp;LEFT(N2,LEN(N2)-2),IF(RIGHT(N2,1)="0","10"&amp;LEFT(N2,LEN(N2)-1),"error"))))))</f>
        <v/>
      </c>
      <c r="O7" s="68"/>
      <c r="P7" s="68"/>
      <c r="Q7" s="9"/>
      <c r="R7" s="67" t="str">
        <f t="shared" ref="R7" si="7">IF(R2="","",IF(RIGHT(R2,5)="00000","50"&amp;LEFT(R2,LEN(R2)-5),IF(RIGHT(R2,4)="0000","40"&amp;LEFT(R2,LEN(R2)-4),IF(RIGHT(R2,3)="000","30"&amp;LEFT(R2,LEN(R2)-3),IF(RIGHT(R2,2)="00","20"&amp;LEFT(R2,LEN(R2)-2),IF(RIGHT(R2,1)="0","10"&amp;LEFT(R2,LEN(R2)-1),"error"))))))</f>
        <v/>
      </c>
      <c r="S7" s="68"/>
      <c r="T7" s="68"/>
      <c r="U7" s="9"/>
      <c r="V7" s="67" t="str">
        <f t="shared" ref="V7" si="8">IF(V2="","",IF(RIGHT(V2,5)="00000","50"&amp;LEFT(V2,LEN(V2)-5),IF(RIGHT(V2,4)="0000","40"&amp;LEFT(V2,LEN(V2)-4),IF(RIGHT(V2,3)="000","30"&amp;LEFT(V2,LEN(V2)-3),IF(RIGHT(V2,2)="00","20"&amp;LEFT(V2,LEN(V2)-2),IF(RIGHT(V2,1)="0","10"&amp;LEFT(V2,LEN(V2)-1),"error"))))))</f>
        <v/>
      </c>
      <c r="W7" s="68"/>
      <c r="X7" s="68"/>
      <c r="Y7" s="9"/>
      <c r="Z7" s="67"/>
      <c r="AA7" s="68"/>
      <c r="AB7" s="68"/>
      <c r="AC7" s="19"/>
      <c r="AD7" s="137"/>
      <c r="AE7" s="137"/>
      <c r="AF7" s="137"/>
      <c r="AG7" s="26"/>
      <c r="AJ7" s="5"/>
    </row>
    <row r="8" spans="2:39" ht="14.25" customHeight="1" x14ac:dyDescent="0.15">
      <c r="B8" s="141">
        <v>102555</v>
      </c>
      <c r="C8" s="92"/>
      <c r="D8" s="92"/>
      <c r="E8" s="10" t="s">
        <v>5</v>
      </c>
      <c r="F8" s="69"/>
      <c r="G8" s="70"/>
      <c r="H8" s="70"/>
      <c r="I8" s="10"/>
      <c r="J8" s="69"/>
      <c r="K8" s="70"/>
      <c r="L8" s="70"/>
      <c r="M8" s="10"/>
      <c r="N8" s="69"/>
      <c r="O8" s="70"/>
      <c r="P8" s="70"/>
      <c r="Q8" s="10"/>
      <c r="R8" s="69"/>
      <c r="S8" s="70"/>
      <c r="T8" s="70"/>
      <c r="U8" s="10"/>
      <c r="V8" s="69"/>
      <c r="W8" s="70"/>
      <c r="X8" s="70"/>
      <c r="Y8" s="10"/>
      <c r="Z8" s="69"/>
      <c r="AA8" s="70"/>
      <c r="AB8" s="70"/>
      <c r="AC8" s="20"/>
      <c r="AD8" s="127"/>
      <c r="AE8" s="127"/>
      <c r="AF8" s="127"/>
      <c r="AG8" s="50"/>
      <c r="AI8" s="16" t="s">
        <v>6</v>
      </c>
      <c r="AJ8" s="15"/>
      <c r="AK8" s="15"/>
      <c r="AL8" s="15"/>
      <c r="AM8" s="15"/>
    </row>
    <row r="9" spans="2:39" ht="23.45" customHeight="1" thickBot="1" x14ac:dyDescent="0.2">
      <c r="B9" s="140" t="s">
        <v>4</v>
      </c>
      <c r="C9" s="99"/>
      <c r="D9" s="99"/>
      <c r="E9" s="103"/>
      <c r="F9" s="98"/>
      <c r="G9" s="99"/>
      <c r="H9" s="99"/>
      <c r="I9" s="103"/>
      <c r="J9" s="98"/>
      <c r="K9" s="99"/>
      <c r="L9" s="99"/>
      <c r="M9" s="103"/>
      <c r="N9" s="98"/>
      <c r="O9" s="99"/>
      <c r="P9" s="99"/>
      <c r="Q9" s="103"/>
      <c r="R9" s="98"/>
      <c r="S9" s="99"/>
      <c r="T9" s="99"/>
      <c r="U9" s="103"/>
      <c r="V9" s="98"/>
      <c r="W9" s="99"/>
      <c r="X9" s="99"/>
      <c r="Y9" s="103"/>
      <c r="Z9" s="98"/>
      <c r="AA9" s="99"/>
      <c r="AB9" s="99"/>
      <c r="AC9" s="99"/>
      <c r="AD9" s="125"/>
      <c r="AE9" s="126"/>
      <c r="AF9" s="126"/>
      <c r="AG9" s="126"/>
    </row>
    <row r="10" spans="2:39" ht="14.25" hidden="1" thickBot="1" x14ac:dyDescent="0.2">
      <c r="B10" s="71">
        <f>(IF(LEFT(B17,2)="50",RIGHT(B17,LEN(B17)-2)*100000,IF(LEFT(B17,2)="40",RIGHT(B17,LEN(B17)-2)*10000,IF(LEFT(B17,2)="30",RIGHT(B17,LEN(B17)-2)*1000,IF(LEFT(B17,2)="20",RIGHT(B17,LEN(B17)-2)*100,IF(LEFT(B17,2)="10",RIGHT(B17,LEN(B17)-2)*10,""))))))*1.1</f>
        <v>2860.0000000000005</v>
      </c>
      <c r="C10" s="71"/>
      <c r="D10" s="71"/>
      <c r="E10" s="71"/>
      <c r="F10" s="71">
        <f>(IF(LEFT(F17,2)="50",RIGHT(F17,LEN(F17)-2)*100000,IF(LEFT(F17,2)="40",RIGHT(F17,LEN(F17)-2)*10000,IF(LEFT(F17,2)="30",RIGHT(F17,LEN(F17)-2)*1000,IF(LEFT(F17,2)="20",RIGHT(F17,LEN(F17)-2)*100,IF(LEFT(F17,2)="10",RIGHT(F17,LEN(F17)-2)*10,""))))))*1.1</f>
        <v>2860.0000000000005</v>
      </c>
      <c r="G10" s="71"/>
      <c r="H10" s="71"/>
      <c r="I10" s="71"/>
      <c r="J10" s="71">
        <f>(IF(LEFT(J17,2)="50",RIGHT(J17,LEN(J17)-2)*100000,IF(LEFT(J17,2)="40",RIGHT(J17,LEN(J17)-2)*10000,IF(LEFT(J17,2)="30",RIGHT(J17,LEN(J17)-2)*1000,IF(LEFT(J17,2)="20",RIGHT(J17,LEN(J17)-2)*100,IF(LEFT(J17,2)="10",RIGHT(J17,LEN(J17)-2)*10,""))))))*1.1</f>
        <v>2970.0000000000005</v>
      </c>
      <c r="K10" s="71"/>
      <c r="L10" s="71"/>
      <c r="M10" s="71"/>
      <c r="N10" s="71">
        <f>(IF(LEFT(N17,2)="50",RIGHT(N17,LEN(N17)-2)*100000,IF(LEFT(N17,2)="40",RIGHT(N17,LEN(N17)-2)*10000,IF(LEFT(N17,2)="30",RIGHT(N17,LEN(N17)-2)*1000,IF(LEFT(N17,2)="20",RIGHT(N17,LEN(N17)-2)*100,IF(LEFT(N17,2)="10",RIGHT(N17,LEN(N17)-2)*10,""))))))*1.1</f>
        <v>2970.0000000000005</v>
      </c>
      <c r="O10" s="71"/>
      <c r="P10" s="71"/>
      <c r="Q10" s="71"/>
      <c r="R10" s="71">
        <f>(IF(LEFT(R17,2)="50",RIGHT(R17,LEN(R17)-2)*100000,IF(LEFT(R17,2)="40",RIGHT(R17,LEN(R17)-2)*10000,IF(LEFT(R17,2)="30",RIGHT(R17,LEN(R17)-2)*1000,IF(LEFT(R17,2)="20",RIGHT(R17,LEN(R17)-2)*100,IF(LEFT(R17,2)="10",RIGHT(R17,LEN(R17)-2)*10,""))))))*1.1</f>
        <v>770.00000000000011</v>
      </c>
      <c r="S10" s="71"/>
      <c r="T10" s="71"/>
      <c r="U10" s="71"/>
      <c r="V10" s="71">
        <f>(IF(LEFT(V17,2)="50",RIGHT(V17,LEN(V17)-2)*100000,IF(LEFT(V17,2)="40",RIGHT(V17,LEN(V17)-2)*10000,IF(LEFT(V17,2)="30",RIGHT(V17,LEN(V17)-2)*1000,IF(LEFT(V17,2)="20",RIGHT(V17,LEN(V17)-2)*100,IF(LEFT(V17,2)="10",RIGHT(V17,LEN(V17)-2)*10,""))))))*1.1</f>
        <v>550</v>
      </c>
      <c r="W10" s="71"/>
      <c r="X10" s="71"/>
      <c r="Y10" s="71"/>
      <c r="Z10" s="71">
        <f>(IF(LEFT(Z17,2)="50",RIGHT(Z17,LEN(Z17)-2)*100000,IF(LEFT(Z17,2)="40",RIGHT(Z17,LEN(Z17)-2)*10000,IF(LEFT(Z17,2)="30",RIGHT(Z17,LEN(Z17)-2)*1000,IF(LEFT(Z17,2)="20",RIGHT(Z17,LEN(Z17)-2)*100,IF(LEFT(Z17,2)="10",RIGHT(Z17,LEN(Z17)-2)*10,""))))))*1.1</f>
        <v>2860.0000000000005</v>
      </c>
      <c r="AA10" s="71"/>
      <c r="AB10" s="71"/>
      <c r="AC10" s="71"/>
      <c r="AD10" s="82"/>
      <c r="AE10" s="82"/>
      <c r="AF10" s="82"/>
      <c r="AG10" s="82"/>
    </row>
    <row r="11" spans="2:39" ht="14.25" hidden="1" thickBot="1" x14ac:dyDescent="0.2">
      <c r="B11" s="82">
        <f>IF(ISERROR(ROUND(B10,-1)),"",ROUND(B10,-1))</f>
        <v>2860</v>
      </c>
      <c r="C11" s="82"/>
      <c r="D11" s="82"/>
      <c r="E11" s="82"/>
      <c r="F11" s="82">
        <f>IF(ISERROR(ROUND(F10,-1)),"",ROUND(F10,-1))</f>
        <v>2860</v>
      </c>
      <c r="G11" s="82"/>
      <c r="H11" s="82"/>
      <c r="I11" s="82"/>
      <c r="J11" s="82">
        <f>IF(ISERROR(ROUND(J10,-1)),"",ROUND(J10,-1))</f>
        <v>2970</v>
      </c>
      <c r="K11" s="82"/>
      <c r="L11" s="82"/>
      <c r="M11" s="82"/>
      <c r="N11" s="82">
        <f>IF(ISERROR(ROUND(N10,-1)),"",ROUND(N10,-1))</f>
        <v>2970</v>
      </c>
      <c r="O11" s="82"/>
      <c r="P11" s="82"/>
      <c r="Q11" s="82"/>
      <c r="R11" s="82">
        <f>IF(ISERROR(ROUND(R10,-1)),"",ROUND(R10,-1))</f>
        <v>770</v>
      </c>
      <c r="S11" s="82"/>
      <c r="T11" s="82"/>
      <c r="U11" s="82"/>
      <c r="V11" s="82">
        <f>IF(ISERROR(ROUND(V10,-1)),"",ROUND(V10,-1))</f>
        <v>550</v>
      </c>
      <c r="W11" s="82"/>
      <c r="X11" s="82"/>
      <c r="Y11" s="82"/>
      <c r="Z11" s="82">
        <f>IF(ISERROR(ROUND(Z10,-1)),"",ROUND(Z10,-1))</f>
        <v>2860</v>
      </c>
      <c r="AA11" s="82"/>
      <c r="AB11" s="82"/>
      <c r="AC11" s="82"/>
      <c r="AD11" s="82"/>
      <c r="AE11" s="82"/>
      <c r="AF11" s="82"/>
      <c r="AG11" s="82"/>
    </row>
    <row r="12" spans="2:39" ht="14.1" customHeight="1" x14ac:dyDescent="0.15">
      <c r="B12" s="123" t="s">
        <v>76</v>
      </c>
      <c r="C12" s="124"/>
      <c r="D12" s="124"/>
      <c r="E12" s="51">
        <v>0.3</v>
      </c>
      <c r="F12" s="138" t="s">
        <v>76</v>
      </c>
      <c r="G12" s="124"/>
      <c r="H12" s="124"/>
      <c r="I12" s="51">
        <v>0.5</v>
      </c>
      <c r="J12" s="138" t="s">
        <v>76</v>
      </c>
      <c r="K12" s="124"/>
      <c r="L12" s="124"/>
      <c r="M12" s="51" t="s">
        <v>23</v>
      </c>
      <c r="N12" s="138" t="s">
        <v>76</v>
      </c>
      <c r="O12" s="124"/>
      <c r="P12" s="124"/>
      <c r="Q12" s="51" t="s">
        <v>23</v>
      </c>
      <c r="R12" s="138" t="s">
        <v>76</v>
      </c>
      <c r="S12" s="124"/>
      <c r="T12" s="124"/>
      <c r="U12" s="51" t="s">
        <v>77</v>
      </c>
      <c r="V12" s="138" t="s">
        <v>76</v>
      </c>
      <c r="W12" s="124"/>
      <c r="X12" s="124"/>
      <c r="Y12" s="51" t="s">
        <v>45</v>
      </c>
      <c r="Z12" s="138" t="s">
        <v>76</v>
      </c>
      <c r="AA12" s="124"/>
      <c r="AB12" s="124"/>
      <c r="AC12" s="52">
        <v>0.3</v>
      </c>
      <c r="AD12" s="139"/>
      <c r="AE12" s="139"/>
      <c r="AF12" s="139"/>
      <c r="AG12" s="45"/>
      <c r="AJ12" s="3"/>
    </row>
    <row r="13" spans="2:39" ht="15.95" customHeight="1" x14ac:dyDescent="0.15">
      <c r="B13" s="113" t="s">
        <v>78</v>
      </c>
      <c r="C13" s="114"/>
      <c r="D13" s="114"/>
      <c r="E13" s="115"/>
      <c r="F13" s="130" t="s">
        <v>79</v>
      </c>
      <c r="G13" s="114"/>
      <c r="H13" s="114"/>
      <c r="I13" s="115"/>
      <c r="J13" s="130" t="s">
        <v>80</v>
      </c>
      <c r="K13" s="114"/>
      <c r="L13" s="114"/>
      <c r="M13" s="115"/>
      <c r="N13" s="130" t="s">
        <v>80</v>
      </c>
      <c r="O13" s="114"/>
      <c r="P13" s="114"/>
      <c r="Q13" s="115"/>
      <c r="R13" s="130" t="s">
        <v>81</v>
      </c>
      <c r="S13" s="114"/>
      <c r="T13" s="114"/>
      <c r="U13" s="115"/>
      <c r="V13" s="130" t="s">
        <v>82</v>
      </c>
      <c r="W13" s="114"/>
      <c r="X13" s="114"/>
      <c r="Y13" s="115"/>
      <c r="Z13" s="130" t="s">
        <v>78</v>
      </c>
      <c r="AA13" s="114"/>
      <c r="AB13" s="114"/>
      <c r="AC13" s="131"/>
      <c r="AD13" s="47"/>
      <c r="AE13" s="134"/>
      <c r="AF13" s="134"/>
      <c r="AG13" s="134"/>
      <c r="AJ13" s="5"/>
    </row>
    <row r="14" spans="2:39" ht="11.45" customHeight="1" x14ac:dyDescent="0.15">
      <c r="B14" s="116"/>
      <c r="C14" s="117"/>
      <c r="D14" s="117"/>
      <c r="E14" s="118"/>
      <c r="F14" s="132"/>
      <c r="G14" s="117"/>
      <c r="H14" s="117"/>
      <c r="I14" s="118"/>
      <c r="J14" s="132"/>
      <c r="K14" s="117"/>
      <c r="L14" s="117"/>
      <c r="M14" s="118"/>
      <c r="N14" s="132"/>
      <c r="O14" s="117"/>
      <c r="P14" s="117"/>
      <c r="Q14" s="118"/>
      <c r="R14" s="132"/>
      <c r="S14" s="117"/>
      <c r="T14" s="117"/>
      <c r="U14" s="118"/>
      <c r="V14" s="132"/>
      <c r="W14" s="117"/>
      <c r="X14" s="117"/>
      <c r="Y14" s="118"/>
      <c r="Z14" s="132"/>
      <c r="AA14" s="117"/>
      <c r="AB14" s="117"/>
      <c r="AC14" s="133"/>
      <c r="AD14" s="135"/>
      <c r="AE14" s="135"/>
      <c r="AF14" s="136"/>
      <c r="AG14" s="136"/>
      <c r="AJ14" s="5"/>
    </row>
    <row r="15" spans="2:39" ht="9.9499999999999993" customHeight="1" x14ac:dyDescent="0.15">
      <c r="B15" s="53"/>
      <c r="C15" s="54"/>
      <c r="D15" s="54"/>
      <c r="E15" s="55"/>
      <c r="F15" s="56"/>
      <c r="G15" s="54"/>
      <c r="H15" s="54"/>
      <c r="I15" s="55"/>
      <c r="J15" s="56"/>
      <c r="K15" s="54"/>
      <c r="L15" s="54"/>
      <c r="M15" s="55"/>
      <c r="N15" s="56"/>
      <c r="O15" s="54"/>
      <c r="P15" s="54"/>
      <c r="Q15" s="55"/>
      <c r="R15" s="56"/>
      <c r="S15" s="54"/>
      <c r="T15" s="54"/>
      <c r="U15" s="55"/>
      <c r="V15" s="56"/>
      <c r="W15" s="54"/>
      <c r="X15" s="54"/>
      <c r="Y15" s="55"/>
      <c r="Z15" s="56"/>
      <c r="AA15" s="54"/>
      <c r="AB15" s="54"/>
      <c r="AC15" s="57"/>
      <c r="AD15" s="7"/>
      <c r="AE15" s="7"/>
      <c r="AF15" s="7"/>
      <c r="AG15" s="49"/>
      <c r="AJ15" s="5"/>
    </row>
    <row r="16" spans="2:39" ht="13.5" customHeight="1" x14ac:dyDescent="0.15">
      <c r="B16" s="58" t="str">
        <f>IF(B11="","",IF(RIGHT(B11,5)="00000","50"&amp;LEFT(B11,LEN(B11)-5),IF(RIGHT(B11,4)="0000","40"&amp;LEFT(B11,LEN(B11)-4),IF(RIGHT(B11,3)="000","30"&amp;LEFT(B11,LEN(B11)-3),IF(RIGHT(B11,2)="00","20"&amp;LEFT(B11,LEN(B11)-2),IF(RIGHT(B11,1)="0","10"&amp;LEFT(B11,LEN(B11)-1),"error"))))))</f>
        <v>10286</v>
      </c>
      <c r="C16" s="59"/>
      <c r="D16" s="59"/>
      <c r="E16" s="60">
        <v>2.63</v>
      </c>
      <c r="F16" s="61" t="str">
        <f>IF(F11="","",IF(RIGHT(F11,5)="00000","50"&amp;LEFT(F11,LEN(F11)-5),IF(RIGHT(F11,4)="0000","40"&amp;LEFT(F11,LEN(F11)-4),IF(RIGHT(F11,3)="000","30"&amp;LEFT(F11,LEN(F11)-3),IF(RIGHT(F11,2)="00","20"&amp;LEFT(F11,LEN(F11)-2),IF(RIGHT(F11,1)="0","10"&amp;LEFT(F11,LEN(F11)-1),"error"))))))</f>
        <v>10286</v>
      </c>
      <c r="G16" s="59"/>
      <c r="H16" s="59"/>
      <c r="I16" s="60">
        <v>2.63</v>
      </c>
      <c r="J16" s="61" t="str">
        <f>IF(J11="","",IF(RIGHT(J11,5)="00000","50"&amp;LEFT(J11,LEN(J11)-5),IF(RIGHT(J11,4)="0000","40"&amp;LEFT(J11,LEN(J11)-4),IF(RIGHT(J11,3)="000","30"&amp;LEFT(J11,LEN(J11)-3),IF(RIGHT(J11,2)="00","20"&amp;LEFT(J11,LEN(J11)-2),IF(RIGHT(J11,1)="0","10"&amp;LEFT(J11,LEN(J11)-1),"error"))))))</f>
        <v>10297</v>
      </c>
      <c r="K16" s="59"/>
      <c r="L16" s="59"/>
      <c r="M16" s="60">
        <v>2.73</v>
      </c>
      <c r="N16" s="61" t="str">
        <f>IF(N11="","",IF(RIGHT(N11,5)="00000","50"&amp;LEFT(N11,LEN(N11)-5),IF(RIGHT(N11,4)="0000","40"&amp;LEFT(N11,LEN(N11)-4),IF(RIGHT(N11,3)="000","30"&amp;LEFT(N11,LEN(N11)-3),IF(RIGHT(N11,2)="00","20"&amp;LEFT(N11,LEN(N11)-2),IF(RIGHT(N11,1)="0","10"&amp;LEFT(N11,LEN(N11)-1),"error"))))))</f>
        <v>10297</v>
      </c>
      <c r="O16" s="59"/>
      <c r="P16" s="59"/>
      <c r="Q16" s="60">
        <v>2.75</v>
      </c>
      <c r="R16" s="61" t="str">
        <f>IF(R11="","",IF(RIGHT(R11,5)="00000","50"&amp;LEFT(R11,LEN(R11)-5),IF(RIGHT(R11,4)="0000","40"&amp;LEFT(R11,LEN(R11)-4),IF(RIGHT(R11,3)="000","30"&amp;LEFT(R11,LEN(R11)-3),IF(RIGHT(R11,2)="00","20"&amp;LEFT(R11,LEN(R11)-2),IF(RIGHT(R11,1)="0","10"&amp;LEFT(R11,LEN(R11)-1),"error"))))))</f>
        <v>1077</v>
      </c>
      <c r="S16" s="59"/>
      <c r="T16" s="59"/>
      <c r="U16" s="60">
        <v>0.71</v>
      </c>
      <c r="V16" s="61" t="str">
        <f>IF(V11="","",IF(RIGHT(V11,5)="00000","50"&amp;LEFT(V11,LEN(V11)-5),IF(RIGHT(V11,4)="0000","40"&amp;LEFT(V11,LEN(V11)-4),IF(RIGHT(V11,3)="000","30"&amp;LEFT(V11,LEN(V11)-3),IF(RIGHT(V11,2)="00","20"&amp;LEFT(V11,LEN(V11)-2),IF(RIGHT(V11,1)="0","10"&amp;LEFT(V11,LEN(V11)-1),"error"))))))</f>
        <v>1055</v>
      </c>
      <c r="W16" s="59"/>
      <c r="X16" s="59"/>
      <c r="Y16" s="60">
        <v>0.53</v>
      </c>
      <c r="Z16" s="61" t="str">
        <f>IF(Z11="","",IF(RIGHT(Z11,5)="00000","50"&amp;LEFT(Z11,LEN(Z11)-5),IF(RIGHT(Z11,4)="0000","40"&amp;LEFT(Z11,LEN(Z11)-4),IF(RIGHT(Z11,3)="000","30"&amp;LEFT(Z11,LEN(Z11)-3),IF(RIGHT(Z11,2)="00","20"&amp;LEFT(Z11,LEN(Z11)-2),IF(RIGHT(Z11,1)="0","10"&amp;LEFT(Z11,LEN(Z11)-1),"error"))))))</f>
        <v>10286</v>
      </c>
      <c r="AA16" s="59"/>
      <c r="AB16" s="59"/>
      <c r="AC16" s="62">
        <v>2.63</v>
      </c>
      <c r="AD16" s="137"/>
      <c r="AE16" s="137"/>
      <c r="AF16" s="137"/>
      <c r="AG16" s="26"/>
      <c r="AJ16" s="5"/>
    </row>
    <row r="17" spans="2:36" ht="14.25" customHeight="1" x14ac:dyDescent="0.15">
      <c r="B17" s="63">
        <v>2026</v>
      </c>
      <c r="C17" s="119" t="s">
        <v>83</v>
      </c>
      <c r="D17" s="119"/>
      <c r="E17" s="64">
        <v>80300</v>
      </c>
      <c r="F17" s="65">
        <v>2026</v>
      </c>
      <c r="G17" s="119" t="s">
        <v>83</v>
      </c>
      <c r="H17" s="119"/>
      <c r="I17" s="64">
        <v>81400</v>
      </c>
      <c r="J17" s="65">
        <v>2027</v>
      </c>
      <c r="K17" s="119" t="s">
        <v>83</v>
      </c>
      <c r="L17" s="119"/>
      <c r="M17" s="64">
        <v>91300</v>
      </c>
      <c r="N17" s="65">
        <v>2027</v>
      </c>
      <c r="O17" s="119" t="s">
        <v>83</v>
      </c>
      <c r="P17" s="119"/>
      <c r="Q17" s="64">
        <v>91300</v>
      </c>
      <c r="R17" s="65">
        <v>207</v>
      </c>
      <c r="S17" s="119" t="s">
        <v>83</v>
      </c>
      <c r="T17" s="119"/>
      <c r="U17" s="64">
        <v>33000</v>
      </c>
      <c r="V17" s="65">
        <v>205</v>
      </c>
      <c r="W17" s="119" t="s">
        <v>83</v>
      </c>
      <c r="X17" s="119"/>
      <c r="Y17" s="64">
        <v>47300</v>
      </c>
      <c r="Z17" s="65">
        <v>2026</v>
      </c>
      <c r="AA17" s="119" t="s">
        <v>83</v>
      </c>
      <c r="AB17" s="119"/>
      <c r="AC17" s="66">
        <v>80300</v>
      </c>
      <c r="AD17" s="127"/>
      <c r="AE17" s="127"/>
      <c r="AF17" s="127"/>
      <c r="AG17" s="50"/>
      <c r="AI17" s="2"/>
    </row>
    <row r="18" spans="2:36" ht="23.45" customHeight="1" thickBot="1" x14ac:dyDescent="0.2">
      <c r="B18" s="120" t="str">
        <f>B13</f>
        <v>R-dA004-30</v>
      </c>
      <c r="C18" s="121"/>
      <c r="D18" s="121"/>
      <c r="E18" s="122"/>
      <c r="F18" s="128" t="str">
        <f>F13</f>
        <v>R-dA004-50</v>
      </c>
      <c r="G18" s="121"/>
      <c r="H18" s="121"/>
      <c r="I18" s="122"/>
      <c r="J18" s="128" t="str">
        <f>J13</f>
        <v>R-dA004-100</v>
      </c>
      <c r="K18" s="121"/>
      <c r="L18" s="121"/>
      <c r="M18" s="122"/>
      <c r="N18" s="128" t="str">
        <f>N13</f>
        <v>R-dA004-100</v>
      </c>
      <c r="O18" s="121"/>
      <c r="P18" s="121"/>
      <c r="Q18" s="122"/>
      <c r="R18" s="128" t="str">
        <f>R13</f>
        <v>PD-PA006-90</v>
      </c>
      <c r="S18" s="121"/>
      <c r="T18" s="121"/>
      <c r="U18" s="122"/>
      <c r="V18" s="128" t="str">
        <f>V13</f>
        <v>PD-PA008-80</v>
      </c>
      <c r="W18" s="121"/>
      <c r="X18" s="121"/>
      <c r="Y18" s="122"/>
      <c r="Z18" s="128" t="str">
        <f>Z13</f>
        <v>R-dA004-30</v>
      </c>
      <c r="AA18" s="121"/>
      <c r="AB18" s="121"/>
      <c r="AC18" s="129"/>
      <c r="AD18" s="125"/>
      <c r="AE18" s="126"/>
      <c r="AF18" s="126"/>
      <c r="AG18" s="126"/>
      <c r="AI18" s="4"/>
    </row>
    <row r="19" spans="2:36" ht="14.25" hidden="1" thickBot="1" x14ac:dyDescent="0.2">
      <c r="B19" s="82">
        <f>(IF(LEFT(B26,2)="50",RIGHT(B26,LEN(B26)-2)*100000,IF(LEFT(B26,2)="40",RIGHT(B26,LEN(B26)-2)*10000,IF(LEFT(B26,2)="30",RIGHT(B26,LEN(B26)-2)*1000,IF(LEFT(B26,2)="20",RIGHT(B26,LEN(B26)-2)*100,IF(LEFT(B26,2)="10",RIGHT(B26,LEN(B26)-2)*10,""))))))*1.1</f>
        <v>2860.0000000000005</v>
      </c>
      <c r="C19" s="82"/>
      <c r="D19" s="82"/>
      <c r="E19" s="82"/>
      <c r="F19" s="82">
        <f>(IF(LEFT(F26,2)="50",RIGHT(F26,LEN(F26)-2)*100000,IF(LEFT(F26,2)="40",RIGHT(F26,LEN(F26)-2)*10000,IF(LEFT(F26,2)="30",RIGHT(F26,LEN(F26)-2)*1000,IF(LEFT(F26,2)="20",RIGHT(F26,LEN(F26)-2)*100,IF(LEFT(F26,2)="10",RIGHT(F26,LEN(F26)-2)*10,""))))))*1.1</f>
        <v>2860.0000000000005</v>
      </c>
      <c r="G19" s="82"/>
      <c r="H19" s="82"/>
      <c r="I19" s="82"/>
      <c r="J19" s="82">
        <f>(IF(LEFT(J26,2)="50",RIGHT(J26,LEN(J26)-2)*100000,IF(LEFT(J26,2)="40",RIGHT(J26,LEN(J26)-2)*10000,IF(LEFT(J26,2)="30",RIGHT(J26,LEN(J26)-2)*1000,IF(LEFT(J26,2)="20",RIGHT(J26,LEN(J26)-2)*100,IF(LEFT(J26,2)="10",RIGHT(J26,LEN(J26)-2)*10,""))))))*1.1</f>
        <v>2970.0000000000005</v>
      </c>
      <c r="K19" s="82"/>
      <c r="L19" s="82"/>
      <c r="M19" s="82"/>
      <c r="N19" s="82">
        <f>(IF(LEFT(N26,2)="50",RIGHT(N26,LEN(N26)-2)*100000,IF(LEFT(N26,2)="40",RIGHT(N26,LEN(N26)-2)*10000,IF(LEFT(N26,2)="30",RIGHT(N26,LEN(N26)-2)*1000,IF(LEFT(N26,2)="20",RIGHT(N26,LEN(N26)-2)*100,IF(LEFT(N26,2)="10",RIGHT(N26,LEN(N26)-2)*10,""))))))*1.1</f>
        <v>2970.0000000000005</v>
      </c>
      <c r="O19" s="82"/>
      <c r="P19" s="82"/>
      <c r="Q19" s="82"/>
      <c r="R19" s="82">
        <f>(IF(LEFT(R26,2)="50",RIGHT(R26,LEN(R26)-2)*100000,IF(LEFT(R26,2)="40",RIGHT(R26,LEN(R26)-2)*10000,IF(LEFT(R26,2)="30",RIGHT(R26,LEN(R26)-2)*1000,IF(LEFT(R26,2)="20",RIGHT(R26,LEN(R26)-2)*100,IF(LEFT(R26,2)="10",RIGHT(R26,LEN(R26)-2)*10,""))))))*1.1</f>
        <v>770.00000000000011</v>
      </c>
      <c r="S19" s="82"/>
      <c r="T19" s="82"/>
      <c r="U19" s="82"/>
      <c r="V19" s="82">
        <f>(IF(LEFT(V26,2)="50",RIGHT(V26,LEN(V26)-2)*100000,IF(LEFT(V26,2)="40",RIGHT(V26,LEN(V26)-2)*10000,IF(LEFT(V26,2)="30",RIGHT(V26,LEN(V26)-2)*1000,IF(LEFT(V26,2)="20",RIGHT(V26,LEN(V26)-2)*100,IF(LEFT(V26,2)="10",RIGHT(V26,LEN(V26)-2)*10,""))))))*1.1</f>
        <v>550</v>
      </c>
      <c r="W19" s="82"/>
      <c r="X19" s="82"/>
      <c r="Y19" s="82"/>
      <c r="Z19" s="82">
        <f>(IF(LEFT(Z26,2)="50",RIGHT(Z26,LEN(Z26)-2)*100000,IF(LEFT(Z26,2)="40",RIGHT(Z26,LEN(Z26)-2)*10000,IF(LEFT(Z26,2)="30",RIGHT(Z26,LEN(Z26)-2)*1000,IF(LEFT(Z26,2)="20",RIGHT(Z26,LEN(Z26)-2)*100,IF(LEFT(Z26,2)="10",RIGHT(Z26,LEN(Z26)-2)*10,""))))))*1.1</f>
        <v>2860.0000000000005</v>
      </c>
      <c r="AA19" s="82"/>
      <c r="AB19" s="82"/>
      <c r="AC19" s="82"/>
      <c r="AD19" s="82"/>
      <c r="AE19" s="82"/>
      <c r="AF19" s="82"/>
      <c r="AG19" s="82"/>
    </row>
    <row r="20" spans="2:36" ht="14.25" hidden="1" thickBot="1" x14ac:dyDescent="0.2">
      <c r="B20" s="82">
        <f>IF(ISERROR(ROUND(B19,-1)),"",ROUND(B19,-1))</f>
        <v>2860</v>
      </c>
      <c r="C20" s="82"/>
      <c r="D20" s="82"/>
      <c r="E20" s="82"/>
      <c r="F20" s="82">
        <f>IF(ISERROR(ROUND(F19,-1)),"",ROUND(F19,-1))</f>
        <v>2860</v>
      </c>
      <c r="G20" s="82"/>
      <c r="H20" s="82"/>
      <c r="I20" s="82"/>
      <c r="J20" s="82">
        <f>IF(ISERROR(ROUND(J19,-1)),"",ROUND(J19,-1))</f>
        <v>2970</v>
      </c>
      <c r="K20" s="82"/>
      <c r="L20" s="82"/>
      <c r="M20" s="82"/>
      <c r="N20" s="82">
        <f>IF(ISERROR(ROUND(N19,-1)),"",ROUND(N19,-1))</f>
        <v>2970</v>
      </c>
      <c r="O20" s="82"/>
      <c r="P20" s="82"/>
      <c r="Q20" s="82"/>
      <c r="R20" s="82">
        <f>IF(ISERROR(ROUND(R19,-1)),"",ROUND(R19,-1))</f>
        <v>770</v>
      </c>
      <c r="S20" s="82"/>
      <c r="T20" s="82"/>
      <c r="U20" s="82"/>
      <c r="V20" s="82">
        <f>IF(ISERROR(ROUND(V19,-1)),"",ROUND(V19,-1))</f>
        <v>550</v>
      </c>
      <c r="W20" s="82"/>
      <c r="X20" s="82"/>
      <c r="Y20" s="82"/>
      <c r="Z20" s="82">
        <f>IF(ISERROR(ROUND(Z19,-1)),"",ROUND(Z19,-1))</f>
        <v>2860</v>
      </c>
      <c r="AA20" s="82"/>
      <c r="AB20" s="82"/>
      <c r="AC20" s="82"/>
      <c r="AD20" s="82"/>
      <c r="AE20" s="82"/>
      <c r="AF20" s="82"/>
      <c r="AG20" s="82"/>
    </row>
    <row r="21" spans="2:36" ht="14.1" customHeight="1" x14ac:dyDescent="0.15">
      <c r="B21" s="123" t="s">
        <v>76</v>
      </c>
      <c r="C21" s="124"/>
      <c r="D21" s="124"/>
      <c r="E21" s="51">
        <v>0.3</v>
      </c>
      <c r="F21" s="138" t="s">
        <v>76</v>
      </c>
      <c r="G21" s="124"/>
      <c r="H21" s="124"/>
      <c r="I21" s="51">
        <v>0.5</v>
      </c>
      <c r="J21" s="138" t="s">
        <v>76</v>
      </c>
      <c r="K21" s="124"/>
      <c r="L21" s="124"/>
      <c r="M21" s="51" t="s">
        <v>23</v>
      </c>
      <c r="N21" s="138" t="s">
        <v>76</v>
      </c>
      <c r="O21" s="124"/>
      <c r="P21" s="124"/>
      <c r="Q21" s="51" t="s">
        <v>23</v>
      </c>
      <c r="R21" s="138" t="s">
        <v>76</v>
      </c>
      <c r="S21" s="124"/>
      <c r="T21" s="124"/>
      <c r="U21" s="51" t="s">
        <v>77</v>
      </c>
      <c r="V21" s="138" t="s">
        <v>76</v>
      </c>
      <c r="W21" s="124"/>
      <c r="X21" s="124"/>
      <c r="Y21" s="51" t="s">
        <v>45</v>
      </c>
      <c r="Z21" s="138" t="s">
        <v>76</v>
      </c>
      <c r="AA21" s="124"/>
      <c r="AB21" s="124"/>
      <c r="AC21" s="52">
        <v>0.3</v>
      </c>
      <c r="AD21" s="139"/>
      <c r="AE21" s="139"/>
      <c r="AF21" s="139"/>
      <c r="AG21" s="45"/>
      <c r="AJ21" s="3"/>
    </row>
    <row r="22" spans="2:36" ht="15.95" customHeight="1" x14ac:dyDescent="0.15">
      <c r="B22" s="113" t="s">
        <v>78</v>
      </c>
      <c r="C22" s="114"/>
      <c r="D22" s="114"/>
      <c r="E22" s="115"/>
      <c r="F22" s="130" t="s">
        <v>79</v>
      </c>
      <c r="G22" s="114"/>
      <c r="H22" s="114"/>
      <c r="I22" s="115"/>
      <c r="J22" s="130" t="s">
        <v>80</v>
      </c>
      <c r="K22" s="114"/>
      <c r="L22" s="114"/>
      <c r="M22" s="115"/>
      <c r="N22" s="130" t="s">
        <v>80</v>
      </c>
      <c r="O22" s="114"/>
      <c r="P22" s="114"/>
      <c r="Q22" s="115"/>
      <c r="R22" s="130" t="s">
        <v>81</v>
      </c>
      <c r="S22" s="114"/>
      <c r="T22" s="114"/>
      <c r="U22" s="115"/>
      <c r="V22" s="130" t="s">
        <v>82</v>
      </c>
      <c r="W22" s="114"/>
      <c r="X22" s="114"/>
      <c r="Y22" s="115"/>
      <c r="Z22" s="130" t="s">
        <v>78</v>
      </c>
      <c r="AA22" s="114"/>
      <c r="AB22" s="114"/>
      <c r="AC22" s="131"/>
      <c r="AD22" s="47"/>
      <c r="AE22" s="134"/>
      <c r="AF22" s="134"/>
      <c r="AG22" s="134"/>
      <c r="AJ22" s="5"/>
    </row>
    <row r="23" spans="2:36" ht="11.45" customHeight="1" x14ac:dyDescent="0.15">
      <c r="B23" s="116"/>
      <c r="C23" s="117"/>
      <c r="D23" s="117"/>
      <c r="E23" s="118"/>
      <c r="F23" s="132"/>
      <c r="G23" s="117"/>
      <c r="H23" s="117"/>
      <c r="I23" s="118"/>
      <c r="J23" s="132"/>
      <c r="K23" s="117"/>
      <c r="L23" s="117"/>
      <c r="M23" s="118"/>
      <c r="N23" s="132"/>
      <c r="O23" s="117"/>
      <c r="P23" s="117"/>
      <c r="Q23" s="118"/>
      <c r="R23" s="132"/>
      <c r="S23" s="117"/>
      <c r="T23" s="117"/>
      <c r="U23" s="118"/>
      <c r="V23" s="132"/>
      <c r="W23" s="117"/>
      <c r="X23" s="117"/>
      <c r="Y23" s="118"/>
      <c r="Z23" s="132"/>
      <c r="AA23" s="117"/>
      <c r="AB23" s="117"/>
      <c r="AC23" s="133"/>
      <c r="AD23" s="135"/>
      <c r="AE23" s="135"/>
      <c r="AF23" s="136"/>
      <c r="AG23" s="136"/>
      <c r="AJ23" s="5"/>
    </row>
    <row r="24" spans="2:36" ht="9.9499999999999993" customHeight="1" x14ac:dyDescent="0.15">
      <c r="B24" s="53"/>
      <c r="C24" s="54"/>
      <c r="D24" s="54"/>
      <c r="E24" s="55"/>
      <c r="F24" s="56"/>
      <c r="G24" s="54"/>
      <c r="H24" s="54"/>
      <c r="I24" s="55"/>
      <c r="J24" s="56"/>
      <c r="K24" s="54"/>
      <c r="L24" s="54"/>
      <c r="M24" s="55"/>
      <c r="N24" s="56"/>
      <c r="O24" s="54"/>
      <c r="P24" s="54"/>
      <c r="Q24" s="55"/>
      <c r="R24" s="56"/>
      <c r="S24" s="54"/>
      <c r="T24" s="54"/>
      <c r="U24" s="55"/>
      <c r="V24" s="56"/>
      <c r="W24" s="54"/>
      <c r="X24" s="54"/>
      <c r="Y24" s="55"/>
      <c r="Z24" s="56"/>
      <c r="AA24" s="54"/>
      <c r="AB24" s="54"/>
      <c r="AC24" s="57"/>
      <c r="AD24" s="7"/>
      <c r="AE24" s="7"/>
      <c r="AF24" s="7"/>
      <c r="AG24" s="49"/>
      <c r="AJ24" s="5"/>
    </row>
    <row r="25" spans="2:36" ht="13.5" customHeight="1" x14ac:dyDescent="0.15">
      <c r="B25" s="58" t="str">
        <f>IF(B20="","",IF(RIGHT(B20,5)="00000","50"&amp;LEFT(B20,LEN(B20)-5),IF(RIGHT(B20,4)="0000","40"&amp;LEFT(B20,LEN(B20)-4),IF(RIGHT(B20,3)="000","30"&amp;LEFT(B20,LEN(B20)-3),IF(RIGHT(B20,2)="00","20"&amp;LEFT(B20,LEN(B20)-2),IF(RIGHT(B20,1)="0","10"&amp;LEFT(B20,LEN(B20)-1),"error"))))))</f>
        <v>10286</v>
      </c>
      <c r="C25" s="59"/>
      <c r="D25" s="59"/>
      <c r="E25" s="60">
        <v>2.63</v>
      </c>
      <c r="F25" s="61" t="str">
        <f>IF(F20="","",IF(RIGHT(F20,5)="00000","50"&amp;LEFT(F20,LEN(F20)-5),IF(RIGHT(F20,4)="0000","40"&amp;LEFT(F20,LEN(F20)-4),IF(RIGHT(F20,3)="000","30"&amp;LEFT(F20,LEN(F20)-3),IF(RIGHT(F20,2)="00","20"&amp;LEFT(F20,LEN(F20)-2),IF(RIGHT(F20,1)="0","10"&amp;LEFT(F20,LEN(F20)-1),"error"))))))</f>
        <v>10286</v>
      </c>
      <c r="G25" s="59"/>
      <c r="H25" s="59"/>
      <c r="I25" s="60">
        <v>2.63</v>
      </c>
      <c r="J25" s="61" t="str">
        <f>IF(J20="","",IF(RIGHT(J20,5)="00000","50"&amp;LEFT(J20,LEN(J20)-5),IF(RIGHT(J20,4)="0000","40"&amp;LEFT(J20,LEN(J20)-4),IF(RIGHT(J20,3)="000","30"&amp;LEFT(J20,LEN(J20)-3),IF(RIGHT(J20,2)="00","20"&amp;LEFT(J20,LEN(J20)-2),IF(RIGHT(J20,1)="0","10"&amp;LEFT(J20,LEN(J20)-1),"error"))))))</f>
        <v>10297</v>
      </c>
      <c r="K25" s="59"/>
      <c r="L25" s="59"/>
      <c r="M25" s="60">
        <v>2.73</v>
      </c>
      <c r="N25" s="61" t="str">
        <f>IF(N20="","",IF(RIGHT(N20,5)="00000","50"&amp;LEFT(N20,LEN(N20)-5),IF(RIGHT(N20,4)="0000","40"&amp;LEFT(N20,LEN(N20)-4),IF(RIGHT(N20,3)="000","30"&amp;LEFT(N20,LEN(N20)-3),IF(RIGHT(N20,2)="00","20"&amp;LEFT(N20,LEN(N20)-2),IF(RIGHT(N20,1)="0","10"&amp;LEFT(N20,LEN(N20)-1),"error"))))))</f>
        <v>10297</v>
      </c>
      <c r="O25" s="59"/>
      <c r="P25" s="59"/>
      <c r="Q25" s="60">
        <v>2.75</v>
      </c>
      <c r="R25" s="61" t="str">
        <f>IF(R20="","",IF(RIGHT(R20,5)="00000","50"&amp;LEFT(R20,LEN(R20)-5),IF(RIGHT(R20,4)="0000","40"&amp;LEFT(R20,LEN(R20)-4),IF(RIGHT(R20,3)="000","30"&amp;LEFT(R20,LEN(R20)-3),IF(RIGHT(R20,2)="00","20"&amp;LEFT(R20,LEN(R20)-2),IF(RIGHT(R20,1)="0","10"&amp;LEFT(R20,LEN(R20)-1),"error"))))))</f>
        <v>1077</v>
      </c>
      <c r="S25" s="59"/>
      <c r="T25" s="59"/>
      <c r="U25" s="60">
        <v>0.71</v>
      </c>
      <c r="V25" s="61" t="str">
        <f>IF(V20="","",IF(RIGHT(V20,5)="00000","50"&amp;LEFT(V20,LEN(V20)-5),IF(RIGHT(V20,4)="0000","40"&amp;LEFT(V20,LEN(V20)-4),IF(RIGHT(V20,3)="000","30"&amp;LEFT(V20,LEN(V20)-3),IF(RIGHT(V20,2)="00","20"&amp;LEFT(V20,LEN(V20)-2),IF(RIGHT(V20,1)="0","10"&amp;LEFT(V20,LEN(V20)-1),"error"))))))</f>
        <v>1055</v>
      </c>
      <c r="W25" s="59"/>
      <c r="X25" s="59"/>
      <c r="Y25" s="60">
        <v>0.53</v>
      </c>
      <c r="Z25" s="61" t="str">
        <f>IF(Z20="","",IF(RIGHT(Z20,5)="00000","50"&amp;LEFT(Z20,LEN(Z20)-5),IF(RIGHT(Z20,4)="0000","40"&amp;LEFT(Z20,LEN(Z20)-4),IF(RIGHT(Z20,3)="000","30"&amp;LEFT(Z20,LEN(Z20)-3),IF(RIGHT(Z20,2)="00","20"&amp;LEFT(Z20,LEN(Z20)-2),IF(RIGHT(Z20,1)="0","10"&amp;LEFT(Z20,LEN(Z20)-1),"error"))))))</f>
        <v>10286</v>
      </c>
      <c r="AA25" s="59"/>
      <c r="AB25" s="59"/>
      <c r="AC25" s="62">
        <v>2.63</v>
      </c>
      <c r="AD25" s="137"/>
      <c r="AE25" s="137"/>
      <c r="AF25" s="137"/>
      <c r="AG25" s="26"/>
      <c r="AJ25" s="5"/>
    </row>
    <row r="26" spans="2:36" ht="14.25" customHeight="1" x14ac:dyDescent="0.15">
      <c r="B26" s="63">
        <v>2026</v>
      </c>
      <c r="C26" s="119" t="s">
        <v>83</v>
      </c>
      <c r="D26" s="119"/>
      <c r="E26" s="64">
        <v>80300</v>
      </c>
      <c r="F26" s="65">
        <v>2026</v>
      </c>
      <c r="G26" s="119" t="s">
        <v>83</v>
      </c>
      <c r="H26" s="119"/>
      <c r="I26" s="64">
        <v>81400</v>
      </c>
      <c r="J26" s="65">
        <v>2027</v>
      </c>
      <c r="K26" s="119" t="s">
        <v>83</v>
      </c>
      <c r="L26" s="119"/>
      <c r="M26" s="64">
        <v>91300</v>
      </c>
      <c r="N26" s="65">
        <v>2027</v>
      </c>
      <c r="O26" s="119" t="s">
        <v>83</v>
      </c>
      <c r="P26" s="119"/>
      <c r="Q26" s="64">
        <v>91300</v>
      </c>
      <c r="R26" s="65">
        <v>207</v>
      </c>
      <c r="S26" s="119" t="s">
        <v>83</v>
      </c>
      <c r="T26" s="119"/>
      <c r="U26" s="64">
        <v>33000</v>
      </c>
      <c r="V26" s="65">
        <v>205</v>
      </c>
      <c r="W26" s="119" t="s">
        <v>83</v>
      </c>
      <c r="X26" s="119"/>
      <c r="Y26" s="64">
        <v>47300</v>
      </c>
      <c r="Z26" s="65">
        <v>2026</v>
      </c>
      <c r="AA26" s="119" t="s">
        <v>83</v>
      </c>
      <c r="AB26" s="119"/>
      <c r="AC26" s="66">
        <v>80300</v>
      </c>
      <c r="AD26" s="127"/>
      <c r="AE26" s="127"/>
      <c r="AF26" s="127"/>
      <c r="AG26" s="50"/>
      <c r="AI26" s="2"/>
    </row>
    <row r="27" spans="2:36" ht="23.45" customHeight="1" thickBot="1" x14ac:dyDescent="0.2">
      <c r="B27" s="120" t="str">
        <f>B22</f>
        <v>R-dA004-30</v>
      </c>
      <c r="C27" s="121"/>
      <c r="D27" s="121"/>
      <c r="E27" s="122"/>
      <c r="F27" s="128" t="str">
        <f>F22</f>
        <v>R-dA004-50</v>
      </c>
      <c r="G27" s="121"/>
      <c r="H27" s="121"/>
      <c r="I27" s="122"/>
      <c r="J27" s="128" t="str">
        <f>J22</f>
        <v>R-dA004-100</v>
      </c>
      <c r="K27" s="121"/>
      <c r="L27" s="121"/>
      <c r="M27" s="122"/>
      <c r="N27" s="128" t="str">
        <f>N22</f>
        <v>R-dA004-100</v>
      </c>
      <c r="O27" s="121"/>
      <c r="P27" s="121"/>
      <c r="Q27" s="122"/>
      <c r="R27" s="128" t="str">
        <f>R22</f>
        <v>PD-PA006-90</v>
      </c>
      <c r="S27" s="121"/>
      <c r="T27" s="121"/>
      <c r="U27" s="122"/>
      <c r="V27" s="128" t="str">
        <f>V22</f>
        <v>PD-PA008-80</v>
      </c>
      <c r="W27" s="121"/>
      <c r="X27" s="121"/>
      <c r="Y27" s="122"/>
      <c r="Z27" s="128" t="str">
        <f>Z22</f>
        <v>R-dA004-30</v>
      </c>
      <c r="AA27" s="121"/>
      <c r="AB27" s="121"/>
      <c r="AC27" s="129"/>
      <c r="AD27" s="125"/>
      <c r="AE27" s="126"/>
      <c r="AF27" s="126"/>
      <c r="AG27" s="126"/>
      <c r="AI27" s="4"/>
    </row>
    <row r="28" spans="2:36" ht="14.25" hidden="1" thickBot="1" x14ac:dyDescent="0.2">
      <c r="B28" s="82">
        <f>(IF(LEFT(B35,2)="50",RIGHT(B35,LEN(B35)-2)*100000,IF(LEFT(B35,2)="40",RIGHT(B35,LEN(B35)-2)*10000,IF(LEFT(B35,2)="30",RIGHT(B35,LEN(B35)-2)*1000,IF(LEFT(B35,2)="20",RIGHT(B35,LEN(B35)-2)*100,IF(LEFT(B35,2)="10",RIGHT(B35,LEN(B35)-2)*10,""))))))*1.1</f>
        <v>2860.0000000000005</v>
      </c>
      <c r="C28" s="82"/>
      <c r="D28" s="82"/>
      <c r="E28" s="82"/>
      <c r="F28" s="82">
        <f>(IF(LEFT(F35,2)="50",RIGHT(F35,LEN(F35)-2)*100000,IF(LEFT(F35,2)="40",RIGHT(F35,LEN(F35)-2)*10000,IF(LEFT(F35,2)="30",RIGHT(F35,LEN(F35)-2)*1000,IF(LEFT(F35,2)="20",RIGHT(F35,LEN(F35)-2)*100,IF(LEFT(F35,2)="10",RIGHT(F35,LEN(F35)-2)*10,""))))))*1.1</f>
        <v>2860.0000000000005</v>
      </c>
      <c r="G28" s="82"/>
      <c r="H28" s="82"/>
      <c r="I28" s="82"/>
      <c r="J28" s="82">
        <f>(IF(LEFT(J35,2)="50",RIGHT(J35,LEN(J35)-2)*100000,IF(LEFT(J35,2)="40",RIGHT(J35,LEN(J35)-2)*10000,IF(LEFT(J35,2)="30",RIGHT(J35,LEN(J35)-2)*1000,IF(LEFT(J35,2)="20",RIGHT(J35,LEN(J35)-2)*100,IF(LEFT(J35,2)="10",RIGHT(J35,LEN(J35)-2)*10,""))))))*1.1</f>
        <v>2970.0000000000005</v>
      </c>
      <c r="K28" s="82"/>
      <c r="L28" s="82"/>
      <c r="M28" s="82"/>
      <c r="N28" s="82">
        <f>(IF(LEFT(N35,2)="50",RIGHT(N35,LEN(N35)-2)*100000,IF(LEFT(N35,2)="40",RIGHT(N35,LEN(N35)-2)*10000,IF(LEFT(N35,2)="30",RIGHT(N35,LEN(N35)-2)*1000,IF(LEFT(N35,2)="20",RIGHT(N35,LEN(N35)-2)*100,IF(LEFT(N35,2)="10",RIGHT(N35,LEN(N35)-2)*10,""))))))*1.1</f>
        <v>2970.0000000000005</v>
      </c>
      <c r="O28" s="82"/>
      <c r="P28" s="82"/>
      <c r="Q28" s="82"/>
      <c r="R28" s="82">
        <f>(IF(LEFT(R35,2)="50",RIGHT(R35,LEN(R35)-2)*100000,IF(LEFT(R35,2)="40",RIGHT(R35,LEN(R35)-2)*10000,IF(LEFT(R35,2)="30",RIGHT(R35,LEN(R35)-2)*1000,IF(LEFT(R35,2)="20",RIGHT(R35,LEN(R35)-2)*100,IF(LEFT(R35,2)="10",RIGHT(R35,LEN(R35)-2)*10,""))))))*1.1</f>
        <v>770.00000000000011</v>
      </c>
      <c r="S28" s="82"/>
      <c r="T28" s="82"/>
      <c r="U28" s="82"/>
      <c r="V28" s="82">
        <f>(IF(LEFT(V35,2)="50",RIGHT(V35,LEN(V35)-2)*100000,IF(LEFT(V35,2)="40",RIGHT(V35,LEN(V35)-2)*10000,IF(LEFT(V35,2)="30",RIGHT(V35,LEN(V35)-2)*1000,IF(LEFT(V35,2)="20",RIGHT(V35,LEN(V35)-2)*100,IF(LEFT(V35,2)="10",RIGHT(V35,LEN(V35)-2)*10,""))))))*1.1</f>
        <v>550</v>
      </c>
      <c r="W28" s="82"/>
      <c r="X28" s="82"/>
      <c r="Y28" s="82"/>
      <c r="Z28" s="82">
        <f>(IF(LEFT(Z35,2)="50",RIGHT(Z35,LEN(Z35)-2)*100000,IF(LEFT(Z35,2)="40",RIGHT(Z35,LEN(Z35)-2)*10000,IF(LEFT(Z35,2)="30",RIGHT(Z35,LEN(Z35)-2)*1000,IF(LEFT(Z35,2)="20",RIGHT(Z35,LEN(Z35)-2)*100,IF(LEFT(Z35,2)="10",RIGHT(Z35,LEN(Z35)-2)*10,""))))))*1.1</f>
        <v>2860.0000000000005</v>
      </c>
      <c r="AA28" s="82"/>
      <c r="AB28" s="82"/>
      <c r="AC28" s="82"/>
      <c r="AD28" s="82"/>
      <c r="AE28" s="82"/>
      <c r="AF28" s="82"/>
      <c r="AG28" s="82"/>
    </row>
    <row r="29" spans="2:36" ht="14.25" hidden="1" thickBot="1" x14ac:dyDescent="0.2">
      <c r="B29" s="82">
        <f>IF(ISERROR(ROUND(B28,-1)),"",ROUND(B28,-1))</f>
        <v>2860</v>
      </c>
      <c r="C29" s="82"/>
      <c r="D29" s="82"/>
      <c r="E29" s="82"/>
      <c r="F29" s="82">
        <f>IF(ISERROR(ROUND(F28,-1)),"",ROUND(F28,-1))</f>
        <v>2860</v>
      </c>
      <c r="G29" s="82"/>
      <c r="H29" s="82"/>
      <c r="I29" s="82"/>
      <c r="J29" s="82">
        <f>IF(ISERROR(ROUND(J28,-1)),"",ROUND(J28,-1))</f>
        <v>2970</v>
      </c>
      <c r="K29" s="82"/>
      <c r="L29" s="82"/>
      <c r="M29" s="82"/>
      <c r="N29" s="82">
        <f>IF(ISERROR(ROUND(N28,-1)),"",ROUND(N28,-1))</f>
        <v>2970</v>
      </c>
      <c r="O29" s="82"/>
      <c r="P29" s="82"/>
      <c r="Q29" s="82"/>
      <c r="R29" s="82">
        <f>IF(ISERROR(ROUND(R28,-1)),"",ROUND(R28,-1))</f>
        <v>770</v>
      </c>
      <c r="S29" s="82"/>
      <c r="T29" s="82"/>
      <c r="U29" s="82"/>
      <c r="V29" s="82">
        <f>IF(ISERROR(ROUND(V28,-1)),"",ROUND(V28,-1))</f>
        <v>550</v>
      </c>
      <c r="W29" s="82"/>
      <c r="X29" s="82"/>
      <c r="Y29" s="82"/>
      <c r="Z29" s="82">
        <f>IF(ISERROR(ROUND(Z28,-1)),"",ROUND(Z28,-1))</f>
        <v>2860</v>
      </c>
      <c r="AA29" s="82"/>
      <c r="AB29" s="82"/>
      <c r="AC29" s="82"/>
      <c r="AD29" s="82"/>
      <c r="AE29" s="82"/>
      <c r="AF29" s="82"/>
      <c r="AG29" s="82"/>
    </row>
    <row r="30" spans="2:36" ht="14.1" customHeight="1" x14ac:dyDescent="0.15">
      <c r="B30" s="123" t="s">
        <v>76</v>
      </c>
      <c r="C30" s="124"/>
      <c r="D30" s="124"/>
      <c r="E30" s="51">
        <v>0.3</v>
      </c>
      <c r="F30" s="138" t="s">
        <v>76</v>
      </c>
      <c r="G30" s="124"/>
      <c r="H30" s="124"/>
      <c r="I30" s="51">
        <v>0.5</v>
      </c>
      <c r="J30" s="138" t="s">
        <v>76</v>
      </c>
      <c r="K30" s="124"/>
      <c r="L30" s="124"/>
      <c r="M30" s="51" t="s">
        <v>23</v>
      </c>
      <c r="N30" s="138" t="s">
        <v>76</v>
      </c>
      <c r="O30" s="124"/>
      <c r="P30" s="124"/>
      <c r="Q30" s="51" t="s">
        <v>23</v>
      </c>
      <c r="R30" s="138" t="s">
        <v>76</v>
      </c>
      <c r="S30" s="124"/>
      <c r="T30" s="124"/>
      <c r="U30" s="51" t="s">
        <v>77</v>
      </c>
      <c r="V30" s="138" t="s">
        <v>76</v>
      </c>
      <c r="W30" s="124"/>
      <c r="X30" s="124"/>
      <c r="Y30" s="51" t="s">
        <v>45</v>
      </c>
      <c r="Z30" s="138" t="s">
        <v>76</v>
      </c>
      <c r="AA30" s="124"/>
      <c r="AB30" s="124"/>
      <c r="AC30" s="52">
        <v>0.3</v>
      </c>
      <c r="AD30" s="139"/>
      <c r="AE30" s="139"/>
      <c r="AF30" s="139"/>
      <c r="AG30" s="45"/>
      <c r="AJ30" s="3"/>
    </row>
    <row r="31" spans="2:36" ht="15.95" customHeight="1" x14ac:dyDescent="0.15">
      <c r="B31" s="113" t="s">
        <v>78</v>
      </c>
      <c r="C31" s="114"/>
      <c r="D31" s="114"/>
      <c r="E31" s="115"/>
      <c r="F31" s="130" t="s">
        <v>79</v>
      </c>
      <c r="G31" s="114"/>
      <c r="H31" s="114"/>
      <c r="I31" s="115"/>
      <c r="J31" s="130" t="s">
        <v>80</v>
      </c>
      <c r="K31" s="114"/>
      <c r="L31" s="114"/>
      <c r="M31" s="115"/>
      <c r="N31" s="130" t="s">
        <v>80</v>
      </c>
      <c r="O31" s="114"/>
      <c r="P31" s="114"/>
      <c r="Q31" s="115"/>
      <c r="R31" s="130" t="s">
        <v>81</v>
      </c>
      <c r="S31" s="114"/>
      <c r="T31" s="114"/>
      <c r="U31" s="115"/>
      <c r="V31" s="130" t="s">
        <v>82</v>
      </c>
      <c r="W31" s="114"/>
      <c r="X31" s="114"/>
      <c r="Y31" s="115"/>
      <c r="Z31" s="130" t="s">
        <v>78</v>
      </c>
      <c r="AA31" s="114"/>
      <c r="AB31" s="114"/>
      <c r="AC31" s="131"/>
      <c r="AD31" s="47"/>
      <c r="AE31" s="134"/>
      <c r="AF31" s="134"/>
      <c r="AG31" s="134"/>
      <c r="AJ31" s="5"/>
    </row>
    <row r="32" spans="2:36" ht="11.45" customHeight="1" x14ac:dyDescent="0.15">
      <c r="B32" s="116"/>
      <c r="C32" s="117"/>
      <c r="D32" s="117"/>
      <c r="E32" s="118"/>
      <c r="F32" s="132"/>
      <c r="G32" s="117"/>
      <c r="H32" s="117"/>
      <c r="I32" s="118"/>
      <c r="J32" s="132"/>
      <c r="K32" s="117"/>
      <c r="L32" s="117"/>
      <c r="M32" s="118"/>
      <c r="N32" s="132"/>
      <c r="O32" s="117"/>
      <c r="P32" s="117"/>
      <c r="Q32" s="118"/>
      <c r="R32" s="132"/>
      <c r="S32" s="117"/>
      <c r="T32" s="117"/>
      <c r="U32" s="118"/>
      <c r="V32" s="132"/>
      <c r="W32" s="117"/>
      <c r="X32" s="117"/>
      <c r="Y32" s="118"/>
      <c r="Z32" s="132"/>
      <c r="AA32" s="117"/>
      <c r="AB32" s="117"/>
      <c r="AC32" s="133"/>
      <c r="AD32" s="135"/>
      <c r="AE32" s="135"/>
      <c r="AF32" s="136"/>
      <c r="AG32" s="136"/>
      <c r="AJ32" s="5"/>
    </row>
    <row r="33" spans="2:36" ht="9.9499999999999993" customHeight="1" x14ac:dyDescent="0.15">
      <c r="B33" s="53"/>
      <c r="C33" s="54"/>
      <c r="D33" s="54"/>
      <c r="E33" s="55"/>
      <c r="F33" s="56"/>
      <c r="G33" s="54"/>
      <c r="H33" s="54"/>
      <c r="I33" s="55"/>
      <c r="J33" s="56"/>
      <c r="K33" s="54"/>
      <c r="L33" s="54"/>
      <c r="M33" s="55"/>
      <c r="N33" s="56"/>
      <c r="O33" s="54"/>
      <c r="P33" s="54"/>
      <c r="Q33" s="55"/>
      <c r="R33" s="56"/>
      <c r="S33" s="54"/>
      <c r="T33" s="54"/>
      <c r="U33" s="55"/>
      <c r="V33" s="56"/>
      <c r="W33" s="54"/>
      <c r="X33" s="54"/>
      <c r="Y33" s="55"/>
      <c r="Z33" s="56"/>
      <c r="AA33" s="54"/>
      <c r="AB33" s="54"/>
      <c r="AC33" s="57"/>
      <c r="AD33" s="7"/>
      <c r="AE33" s="7"/>
      <c r="AF33" s="7"/>
      <c r="AG33" s="49"/>
      <c r="AJ33" s="5"/>
    </row>
    <row r="34" spans="2:36" ht="13.5" customHeight="1" x14ac:dyDescent="0.15">
      <c r="B34" s="58" t="str">
        <f>IF(B29="","",IF(RIGHT(B29,5)="00000","50"&amp;LEFT(B29,LEN(B29)-5),IF(RIGHT(B29,4)="0000","40"&amp;LEFT(B29,LEN(B29)-4),IF(RIGHT(B29,3)="000","30"&amp;LEFT(B29,LEN(B29)-3),IF(RIGHT(B29,2)="00","20"&amp;LEFT(B29,LEN(B29)-2),IF(RIGHT(B29,1)="0","10"&amp;LEFT(B29,LEN(B29)-1),"error"))))))</f>
        <v>10286</v>
      </c>
      <c r="C34" s="59"/>
      <c r="D34" s="59"/>
      <c r="E34" s="60">
        <v>2.63</v>
      </c>
      <c r="F34" s="61" t="str">
        <f>IF(F29="","",IF(RIGHT(F29,5)="00000","50"&amp;LEFT(F29,LEN(F29)-5),IF(RIGHT(F29,4)="0000","40"&amp;LEFT(F29,LEN(F29)-4),IF(RIGHT(F29,3)="000","30"&amp;LEFT(F29,LEN(F29)-3),IF(RIGHT(F29,2)="00","20"&amp;LEFT(F29,LEN(F29)-2),IF(RIGHT(F29,1)="0","10"&amp;LEFT(F29,LEN(F29)-1),"error"))))))</f>
        <v>10286</v>
      </c>
      <c r="G34" s="59"/>
      <c r="H34" s="59"/>
      <c r="I34" s="60">
        <v>2.63</v>
      </c>
      <c r="J34" s="61" t="str">
        <f>IF(J29="","",IF(RIGHT(J29,5)="00000","50"&amp;LEFT(J29,LEN(J29)-5),IF(RIGHT(J29,4)="0000","40"&amp;LEFT(J29,LEN(J29)-4),IF(RIGHT(J29,3)="000","30"&amp;LEFT(J29,LEN(J29)-3),IF(RIGHT(J29,2)="00","20"&amp;LEFT(J29,LEN(J29)-2),IF(RIGHT(J29,1)="0","10"&amp;LEFT(J29,LEN(J29)-1),"error"))))))</f>
        <v>10297</v>
      </c>
      <c r="K34" s="59"/>
      <c r="L34" s="59"/>
      <c r="M34" s="60">
        <v>2.73</v>
      </c>
      <c r="N34" s="61" t="str">
        <f>IF(N29="","",IF(RIGHT(N29,5)="00000","50"&amp;LEFT(N29,LEN(N29)-5),IF(RIGHT(N29,4)="0000","40"&amp;LEFT(N29,LEN(N29)-4),IF(RIGHT(N29,3)="000","30"&amp;LEFT(N29,LEN(N29)-3),IF(RIGHT(N29,2)="00","20"&amp;LEFT(N29,LEN(N29)-2),IF(RIGHT(N29,1)="0","10"&amp;LEFT(N29,LEN(N29)-1),"error"))))))</f>
        <v>10297</v>
      </c>
      <c r="O34" s="59"/>
      <c r="P34" s="59"/>
      <c r="Q34" s="60">
        <v>2.75</v>
      </c>
      <c r="R34" s="61" t="str">
        <f>IF(R29="","",IF(RIGHT(R29,5)="00000","50"&amp;LEFT(R29,LEN(R29)-5),IF(RIGHT(R29,4)="0000","40"&amp;LEFT(R29,LEN(R29)-4),IF(RIGHT(R29,3)="000","30"&amp;LEFT(R29,LEN(R29)-3),IF(RIGHT(R29,2)="00","20"&amp;LEFT(R29,LEN(R29)-2),IF(RIGHT(R29,1)="0","10"&amp;LEFT(R29,LEN(R29)-1),"error"))))))</f>
        <v>1077</v>
      </c>
      <c r="S34" s="59"/>
      <c r="T34" s="59"/>
      <c r="U34" s="60">
        <v>0.71</v>
      </c>
      <c r="V34" s="61" t="str">
        <f>IF(V29="","",IF(RIGHT(V29,5)="00000","50"&amp;LEFT(V29,LEN(V29)-5),IF(RIGHT(V29,4)="0000","40"&amp;LEFT(V29,LEN(V29)-4),IF(RIGHT(V29,3)="000","30"&amp;LEFT(V29,LEN(V29)-3),IF(RIGHT(V29,2)="00","20"&amp;LEFT(V29,LEN(V29)-2),IF(RIGHT(V29,1)="0","10"&amp;LEFT(V29,LEN(V29)-1),"error"))))))</f>
        <v>1055</v>
      </c>
      <c r="W34" s="59"/>
      <c r="X34" s="59"/>
      <c r="Y34" s="60">
        <v>0.53</v>
      </c>
      <c r="Z34" s="61" t="str">
        <f>IF(Z29="","",IF(RIGHT(Z29,5)="00000","50"&amp;LEFT(Z29,LEN(Z29)-5),IF(RIGHT(Z29,4)="0000","40"&amp;LEFT(Z29,LEN(Z29)-4),IF(RIGHT(Z29,3)="000","30"&amp;LEFT(Z29,LEN(Z29)-3),IF(RIGHT(Z29,2)="00","20"&amp;LEFT(Z29,LEN(Z29)-2),IF(RIGHT(Z29,1)="0","10"&amp;LEFT(Z29,LEN(Z29)-1),"error"))))))</f>
        <v>10286</v>
      </c>
      <c r="AA34" s="59"/>
      <c r="AB34" s="59"/>
      <c r="AC34" s="62">
        <v>2.63</v>
      </c>
      <c r="AD34" s="137"/>
      <c r="AE34" s="137"/>
      <c r="AF34" s="137"/>
      <c r="AG34" s="26"/>
      <c r="AJ34" s="5"/>
    </row>
    <row r="35" spans="2:36" ht="14.25" customHeight="1" x14ac:dyDescent="0.15">
      <c r="B35" s="63">
        <v>2026</v>
      </c>
      <c r="C35" s="119" t="s">
        <v>83</v>
      </c>
      <c r="D35" s="119"/>
      <c r="E35" s="64">
        <v>80300</v>
      </c>
      <c r="F35" s="65">
        <v>2026</v>
      </c>
      <c r="G35" s="119" t="s">
        <v>83</v>
      </c>
      <c r="H35" s="119"/>
      <c r="I35" s="64">
        <v>81400</v>
      </c>
      <c r="J35" s="65">
        <v>2027</v>
      </c>
      <c r="K35" s="119" t="s">
        <v>83</v>
      </c>
      <c r="L35" s="119"/>
      <c r="M35" s="64">
        <v>91300</v>
      </c>
      <c r="N35" s="65">
        <v>2027</v>
      </c>
      <c r="O35" s="119" t="s">
        <v>83</v>
      </c>
      <c r="P35" s="119"/>
      <c r="Q35" s="64">
        <v>91300</v>
      </c>
      <c r="R35" s="65">
        <v>207</v>
      </c>
      <c r="S35" s="119" t="s">
        <v>83</v>
      </c>
      <c r="T35" s="119"/>
      <c r="U35" s="64">
        <v>33000</v>
      </c>
      <c r="V35" s="65">
        <v>205</v>
      </c>
      <c r="W35" s="119" t="s">
        <v>83</v>
      </c>
      <c r="X35" s="119"/>
      <c r="Y35" s="64">
        <v>47300</v>
      </c>
      <c r="Z35" s="65">
        <v>2026</v>
      </c>
      <c r="AA35" s="119" t="s">
        <v>83</v>
      </c>
      <c r="AB35" s="119"/>
      <c r="AC35" s="66">
        <v>80300</v>
      </c>
      <c r="AD35" s="127"/>
      <c r="AE35" s="127"/>
      <c r="AF35" s="127"/>
      <c r="AG35" s="50"/>
      <c r="AI35" s="2"/>
    </row>
    <row r="36" spans="2:36" ht="23.45" customHeight="1" thickBot="1" x14ac:dyDescent="0.2">
      <c r="B36" s="120" t="str">
        <f>B31</f>
        <v>R-dA004-30</v>
      </c>
      <c r="C36" s="121"/>
      <c r="D36" s="121"/>
      <c r="E36" s="122"/>
      <c r="F36" s="128" t="str">
        <f>F31</f>
        <v>R-dA004-50</v>
      </c>
      <c r="G36" s="121"/>
      <c r="H36" s="121"/>
      <c r="I36" s="122"/>
      <c r="J36" s="128" t="str">
        <f>J31</f>
        <v>R-dA004-100</v>
      </c>
      <c r="K36" s="121"/>
      <c r="L36" s="121"/>
      <c r="M36" s="122"/>
      <c r="N36" s="128" t="str">
        <f>N31</f>
        <v>R-dA004-100</v>
      </c>
      <c r="O36" s="121"/>
      <c r="P36" s="121"/>
      <c r="Q36" s="122"/>
      <c r="R36" s="128" t="str">
        <f>R31</f>
        <v>PD-PA006-90</v>
      </c>
      <c r="S36" s="121"/>
      <c r="T36" s="121"/>
      <c r="U36" s="122"/>
      <c r="V36" s="128" t="str">
        <f>V31</f>
        <v>PD-PA008-80</v>
      </c>
      <c r="W36" s="121"/>
      <c r="X36" s="121"/>
      <c r="Y36" s="122"/>
      <c r="Z36" s="128" t="str">
        <f>Z31</f>
        <v>R-dA004-30</v>
      </c>
      <c r="AA36" s="121"/>
      <c r="AB36" s="121"/>
      <c r="AC36" s="129"/>
      <c r="AD36" s="125"/>
      <c r="AE36" s="126"/>
      <c r="AF36" s="126"/>
      <c r="AG36" s="126"/>
      <c r="AI36" s="4"/>
    </row>
    <row r="37" spans="2:36" ht="14.25" hidden="1" thickBot="1" x14ac:dyDescent="0.2">
      <c r="B37" s="82">
        <f>(IF(LEFT(B44,2)="50",RIGHT(B44,LEN(B44)-2)*100000,IF(LEFT(B44,2)="40",RIGHT(B44,LEN(B44)-2)*10000,IF(LEFT(B44,2)="30",RIGHT(B44,LEN(B44)-2)*1000,IF(LEFT(B44,2)="20",RIGHT(B44,LEN(B44)-2)*100,IF(LEFT(B44,2)="10",RIGHT(B44,LEN(B44)-2)*10,""))))))*1.1</f>
        <v>2860.0000000000005</v>
      </c>
      <c r="C37" s="82"/>
      <c r="D37" s="82"/>
      <c r="E37" s="82"/>
      <c r="F37" s="82">
        <f>(IF(LEFT(F44,2)="50",RIGHT(F44,LEN(F44)-2)*100000,IF(LEFT(F44,2)="40",RIGHT(F44,LEN(F44)-2)*10000,IF(LEFT(F44,2)="30",RIGHT(F44,LEN(F44)-2)*1000,IF(LEFT(F44,2)="20",RIGHT(F44,LEN(F44)-2)*100,IF(LEFT(F44,2)="10",RIGHT(F44,LEN(F44)-2)*10,""))))))*1.1</f>
        <v>2860.0000000000005</v>
      </c>
      <c r="G37" s="82"/>
      <c r="H37" s="82"/>
      <c r="I37" s="82"/>
      <c r="J37" s="82">
        <f>(IF(LEFT(J44,2)="50",RIGHT(J44,LEN(J44)-2)*100000,IF(LEFT(J44,2)="40",RIGHT(J44,LEN(J44)-2)*10000,IF(LEFT(J44,2)="30",RIGHT(J44,LEN(J44)-2)*1000,IF(LEFT(J44,2)="20",RIGHT(J44,LEN(J44)-2)*100,IF(LEFT(J44,2)="10",RIGHT(J44,LEN(J44)-2)*10,""))))))*1.1</f>
        <v>2970.0000000000005</v>
      </c>
      <c r="K37" s="82"/>
      <c r="L37" s="82"/>
      <c r="M37" s="82"/>
      <c r="N37" s="82">
        <f>(IF(LEFT(N44,2)="50",RIGHT(N44,LEN(N44)-2)*100000,IF(LEFT(N44,2)="40",RIGHT(N44,LEN(N44)-2)*10000,IF(LEFT(N44,2)="30",RIGHT(N44,LEN(N44)-2)*1000,IF(LEFT(N44,2)="20",RIGHT(N44,LEN(N44)-2)*100,IF(LEFT(N44,2)="10",RIGHT(N44,LEN(N44)-2)*10,""))))))*1.1</f>
        <v>2970.0000000000005</v>
      </c>
      <c r="O37" s="82"/>
      <c r="P37" s="82"/>
      <c r="Q37" s="82"/>
      <c r="R37" s="82">
        <f>(IF(LEFT(R44,2)="50",RIGHT(R44,LEN(R44)-2)*100000,IF(LEFT(R44,2)="40",RIGHT(R44,LEN(R44)-2)*10000,IF(LEFT(R44,2)="30",RIGHT(R44,LEN(R44)-2)*1000,IF(LEFT(R44,2)="20",RIGHT(R44,LEN(R44)-2)*100,IF(LEFT(R44,2)="10",RIGHT(R44,LEN(R44)-2)*10,""))))))*1.1</f>
        <v>770.00000000000011</v>
      </c>
      <c r="S37" s="82"/>
      <c r="T37" s="82"/>
      <c r="U37" s="82"/>
      <c r="V37" s="82">
        <f>(IF(LEFT(V44,2)="50",RIGHT(V44,LEN(V44)-2)*100000,IF(LEFT(V44,2)="40",RIGHT(V44,LEN(V44)-2)*10000,IF(LEFT(V44,2)="30",RIGHT(V44,LEN(V44)-2)*1000,IF(LEFT(V44,2)="20",RIGHT(V44,LEN(V44)-2)*100,IF(LEFT(V44,2)="10",RIGHT(V44,LEN(V44)-2)*10,""))))))*1.1</f>
        <v>550</v>
      </c>
      <c r="W37" s="82"/>
      <c r="X37" s="82"/>
      <c r="Y37" s="82"/>
      <c r="Z37" s="82">
        <f>(IF(LEFT(Z44,2)="50",RIGHT(Z44,LEN(Z44)-2)*100000,IF(LEFT(Z44,2)="40",RIGHT(Z44,LEN(Z44)-2)*10000,IF(LEFT(Z44,2)="30",RIGHT(Z44,LEN(Z44)-2)*1000,IF(LEFT(Z44,2)="20",RIGHT(Z44,LEN(Z44)-2)*100,IF(LEFT(Z44,2)="10",RIGHT(Z44,LEN(Z44)-2)*10,""))))))*1.1</f>
        <v>2860.0000000000005</v>
      </c>
      <c r="AA37" s="82"/>
      <c r="AB37" s="82"/>
      <c r="AC37" s="82"/>
      <c r="AD37" s="82"/>
      <c r="AE37" s="82"/>
      <c r="AF37" s="82"/>
      <c r="AG37" s="82"/>
    </row>
    <row r="38" spans="2:36" ht="14.25" hidden="1" thickBot="1" x14ac:dyDescent="0.2">
      <c r="B38" s="82">
        <f>IF(ISERROR(ROUND(B37,-1)),"",ROUND(B37,-1))</f>
        <v>2860</v>
      </c>
      <c r="C38" s="82"/>
      <c r="D38" s="82"/>
      <c r="E38" s="82"/>
      <c r="F38" s="82">
        <f>IF(ISERROR(ROUND(F37,-1)),"",ROUND(F37,-1))</f>
        <v>2860</v>
      </c>
      <c r="G38" s="82"/>
      <c r="H38" s="82"/>
      <c r="I38" s="82"/>
      <c r="J38" s="82">
        <f>IF(ISERROR(ROUND(J37,-1)),"",ROUND(J37,-1))</f>
        <v>2970</v>
      </c>
      <c r="K38" s="82"/>
      <c r="L38" s="82"/>
      <c r="M38" s="82"/>
      <c r="N38" s="82">
        <f>IF(ISERROR(ROUND(N37,-1)),"",ROUND(N37,-1))</f>
        <v>2970</v>
      </c>
      <c r="O38" s="82"/>
      <c r="P38" s="82"/>
      <c r="Q38" s="82"/>
      <c r="R38" s="82">
        <f>IF(ISERROR(ROUND(R37,-1)),"",ROUND(R37,-1))</f>
        <v>770</v>
      </c>
      <c r="S38" s="82"/>
      <c r="T38" s="82"/>
      <c r="U38" s="82"/>
      <c r="V38" s="82">
        <f>IF(ISERROR(ROUND(V37,-1)),"",ROUND(V37,-1))</f>
        <v>550</v>
      </c>
      <c r="W38" s="82"/>
      <c r="X38" s="82"/>
      <c r="Y38" s="82"/>
      <c r="Z38" s="82">
        <f>IF(ISERROR(ROUND(Z37,-1)),"",ROUND(Z37,-1))</f>
        <v>2860</v>
      </c>
      <c r="AA38" s="82"/>
      <c r="AB38" s="82"/>
      <c r="AC38" s="82"/>
      <c r="AD38" s="82"/>
      <c r="AE38" s="82"/>
      <c r="AF38" s="82"/>
      <c r="AG38" s="82"/>
    </row>
    <row r="39" spans="2:36" ht="14.1" customHeight="1" x14ac:dyDescent="0.15">
      <c r="B39" s="123" t="s">
        <v>76</v>
      </c>
      <c r="C39" s="124"/>
      <c r="D39" s="124"/>
      <c r="E39" s="51">
        <v>0.3</v>
      </c>
      <c r="F39" s="138" t="s">
        <v>76</v>
      </c>
      <c r="G39" s="124"/>
      <c r="H39" s="124"/>
      <c r="I39" s="51">
        <v>0.5</v>
      </c>
      <c r="J39" s="138" t="s">
        <v>76</v>
      </c>
      <c r="K39" s="124"/>
      <c r="L39" s="124"/>
      <c r="M39" s="51" t="s">
        <v>23</v>
      </c>
      <c r="N39" s="138" t="s">
        <v>76</v>
      </c>
      <c r="O39" s="124"/>
      <c r="P39" s="124"/>
      <c r="Q39" s="51" t="s">
        <v>23</v>
      </c>
      <c r="R39" s="138" t="s">
        <v>76</v>
      </c>
      <c r="S39" s="124"/>
      <c r="T39" s="124"/>
      <c r="U39" s="51" t="s">
        <v>77</v>
      </c>
      <c r="V39" s="138" t="s">
        <v>76</v>
      </c>
      <c r="W39" s="124"/>
      <c r="X39" s="124"/>
      <c r="Y39" s="51" t="s">
        <v>45</v>
      </c>
      <c r="Z39" s="138" t="s">
        <v>76</v>
      </c>
      <c r="AA39" s="124"/>
      <c r="AB39" s="124"/>
      <c r="AC39" s="52">
        <v>0.3</v>
      </c>
      <c r="AD39" s="139"/>
      <c r="AE39" s="139"/>
      <c r="AF39" s="139"/>
      <c r="AG39" s="45"/>
      <c r="AJ39" s="3"/>
    </row>
    <row r="40" spans="2:36" ht="15.95" customHeight="1" x14ac:dyDescent="0.15">
      <c r="B40" s="113" t="s">
        <v>78</v>
      </c>
      <c r="C40" s="114"/>
      <c r="D40" s="114"/>
      <c r="E40" s="115"/>
      <c r="F40" s="130" t="s">
        <v>79</v>
      </c>
      <c r="G40" s="114"/>
      <c r="H40" s="114"/>
      <c r="I40" s="115"/>
      <c r="J40" s="130" t="s">
        <v>80</v>
      </c>
      <c r="K40" s="114"/>
      <c r="L40" s="114"/>
      <c r="M40" s="115"/>
      <c r="N40" s="130" t="s">
        <v>80</v>
      </c>
      <c r="O40" s="114"/>
      <c r="P40" s="114"/>
      <c r="Q40" s="115"/>
      <c r="R40" s="130" t="s">
        <v>81</v>
      </c>
      <c r="S40" s="114"/>
      <c r="T40" s="114"/>
      <c r="U40" s="115"/>
      <c r="V40" s="130" t="s">
        <v>82</v>
      </c>
      <c r="W40" s="114"/>
      <c r="X40" s="114"/>
      <c r="Y40" s="115"/>
      <c r="Z40" s="130" t="s">
        <v>78</v>
      </c>
      <c r="AA40" s="114"/>
      <c r="AB40" s="114"/>
      <c r="AC40" s="131"/>
      <c r="AD40" s="47"/>
      <c r="AE40" s="134"/>
      <c r="AF40" s="134"/>
      <c r="AG40" s="134"/>
      <c r="AJ40" s="5"/>
    </row>
    <row r="41" spans="2:36" ht="11.45" customHeight="1" x14ac:dyDescent="0.15">
      <c r="B41" s="116"/>
      <c r="C41" s="117"/>
      <c r="D41" s="117"/>
      <c r="E41" s="118"/>
      <c r="F41" s="132"/>
      <c r="G41" s="117"/>
      <c r="H41" s="117"/>
      <c r="I41" s="118"/>
      <c r="J41" s="132"/>
      <c r="K41" s="117"/>
      <c r="L41" s="117"/>
      <c r="M41" s="118"/>
      <c r="N41" s="132"/>
      <c r="O41" s="117"/>
      <c r="P41" s="117"/>
      <c r="Q41" s="118"/>
      <c r="R41" s="132"/>
      <c r="S41" s="117"/>
      <c r="T41" s="117"/>
      <c r="U41" s="118"/>
      <c r="V41" s="132"/>
      <c r="W41" s="117"/>
      <c r="X41" s="117"/>
      <c r="Y41" s="118"/>
      <c r="Z41" s="132"/>
      <c r="AA41" s="117"/>
      <c r="AB41" s="117"/>
      <c r="AC41" s="133"/>
      <c r="AD41" s="135"/>
      <c r="AE41" s="135"/>
      <c r="AF41" s="136"/>
      <c r="AG41" s="136"/>
      <c r="AJ41" s="5"/>
    </row>
    <row r="42" spans="2:36" ht="9.9499999999999993" customHeight="1" x14ac:dyDescent="0.15">
      <c r="B42" s="53"/>
      <c r="C42" s="54"/>
      <c r="D42" s="54"/>
      <c r="E42" s="55"/>
      <c r="F42" s="56"/>
      <c r="G42" s="54"/>
      <c r="H42" s="54"/>
      <c r="I42" s="55"/>
      <c r="J42" s="56"/>
      <c r="K42" s="54"/>
      <c r="L42" s="54"/>
      <c r="M42" s="55"/>
      <c r="N42" s="56"/>
      <c r="O42" s="54"/>
      <c r="P42" s="54"/>
      <c r="Q42" s="55"/>
      <c r="R42" s="56"/>
      <c r="S42" s="54"/>
      <c r="T42" s="54"/>
      <c r="U42" s="55"/>
      <c r="V42" s="56"/>
      <c r="W42" s="54"/>
      <c r="X42" s="54"/>
      <c r="Y42" s="55"/>
      <c r="Z42" s="56"/>
      <c r="AA42" s="54"/>
      <c r="AB42" s="54"/>
      <c r="AC42" s="57"/>
      <c r="AD42" s="7"/>
      <c r="AE42" s="7"/>
      <c r="AF42" s="7"/>
      <c r="AG42" s="49"/>
      <c r="AJ42" s="5"/>
    </row>
    <row r="43" spans="2:36" ht="13.5" customHeight="1" x14ac:dyDescent="0.15">
      <c r="B43" s="58" t="str">
        <f>IF(B38="","",IF(RIGHT(B38,5)="00000","50"&amp;LEFT(B38,LEN(B38)-5),IF(RIGHT(B38,4)="0000","40"&amp;LEFT(B38,LEN(B38)-4),IF(RIGHT(B38,3)="000","30"&amp;LEFT(B38,LEN(B38)-3),IF(RIGHT(B38,2)="00","20"&amp;LEFT(B38,LEN(B38)-2),IF(RIGHT(B38,1)="0","10"&amp;LEFT(B38,LEN(B38)-1),"error"))))))</f>
        <v>10286</v>
      </c>
      <c r="C43" s="59"/>
      <c r="D43" s="59"/>
      <c r="E43" s="60">
        <v>2.63</v>
      </c>
      <c r="F43" s="61" t="str">
        <f>IF(F38="","",IF(RIGHT(F38,5)="00000","50"&amp;LEFT(F38,LEN(F38)-5),IF(RIGHT(F38,4)="0000","40"&amp;LEFT(F38,LEN(F38)-4),IF(RIGHT(F38,3)="000","30"&amp;LEFT(F38,LEN(F38)-3),IF(RIGHT(F38,2)="00","20"&amp;LEFT(F38,LEN(F38)-2),IF(RIGHT(F38,1)="0","10"&amp;LEFT(F38,LEN(F38)-1),"error"))))))</f>
        <v>10286</v>
      </c>
      <c r="G43" s="59"/>
      <c r="H43" s="59"/>
      <c r="I43" s="60">
        <v>2.63</v>
      </c>
      <c r="J43" s="61" t="str">
        <f>IF(J38="","",IF(RIGHT(J38,5)="00000","50"&amp;LEFT(J38,LEN(J38)-5),IF(RIGHT(J38,4)="0000","40"&amp;LEFT(J38,LEN(J38)-4),IF(RIGHT(J38,3)="000","30"&amp;LEFT(J38,LEN(J38)-3),IF(RIGHT(J38,2)="00","20"&amp;LEFT(J38,LEN(J38)-2),IF(RIGHT(J38,1)="0","10"&amp;LEFT(J38,LEN(J38)-1),"error"))))))</f>
        <v>10297</v>
      </c>
      <c r="K43" s="59"/>
      <c r="L43" s="59"/>
      <c r="M43" s="60">
        <v>2.73</v>
      </c>
      <c r="N43" s="61" t="str">
        <f>IF(N38="","",IF(RIGHT(N38,5)="00000","50"&amp;LEFT(N38,LEN(N38)-5),IF(RIGHT(N38,4)="0000","40"&amp;LEFT(N38,LEN(N38)-4),IF(RIGHT(N38,3)="000","30"&amp;LEFT(N38,LEN(N38)-3),IF(RIGHT(N38,2)="00","20"&amp;LEFT(N38,LEN(N38)-2),IF(RIGHT(N38,1)="0","10"&amp;LEFT(N38,LEN(N38)-1),"error"))))))</f>
        <v>10297</v>
      </c>
      <c r="O43" s="59"/>
      <c r="P43" s="59"/>
      <c r="Q43" s="60">
        <v>2.75</v>
      </c>
      <c r="R43" s="61" t="str">
        <f>IF(R38="","",IF(RIGHT(R38,5)="00000","50"&amp;LEFT(R38,LEN(R38)-5),IF(RIGHT(R38,4)="0000","40"&amp;LEFT(R38,LEN(R38)-4),IF(RIGHT(R38,3)="000","30"&amp;LEFT(R38,LEN(R38)-3),IF(RIGHT(R38,2)="00","20"&amp;LEFT(R38,LEN(R38)-2),IF(RIGHT(R38,1)="0","10"&amp;LEFT(R38,LEN(R38)-1),"error"))))))</f>
        <v>1077</v>
      </c>
      <c r="S43" s="59"/>
      <c r="T43" s="59"/>
      <c r="U43" s="60">
        <v>0.71</v>
      </c>
      <c r="V43" s="61" t="str">
        <f>IF(V38="","",IF(RIGHT(V38,5)="00000","50"&amp;LEFT(V38,LEN(V38)-5),IF(RIGHT(V38,4)="0000","40"&amp;LEFT(V38,LEN(V38)-4),IF(RIGHT(V38,3)="000","30"&amp;LEFT(V38,LEN(V38)-3),IF(RIGHT(V38,2)="00","20"&amp;LEFT(V38,LEN(V38)-2),IF(RIGHT(V38,1)="0","10"&amp;LEFT(V38,LEN(V38)-1),"error"))))))</f>
        <v>1055</v>
      </c>
      <c r="W43" s="59"/>
      <c r="X43" s="59"/>
      <c r="Y43" s="60">
        <v>0.53</v>
      </c>
      <c r="Z43" s="61" t="str">
        <f>IF(Z38="","",IF(RIGHT(Z38,5)="00000","50"&amp;LEFT(Z38,LEN(Z38)-5),IF(RIGHT(Z38,4)="0000","40"&amp;LEFT(Z38,LEN(Z38)-4),IF(RIGHT(Z38,3)="000","30"&amp;LEFT(Z38,LEN(Z38)-3),IF(RIGHT(Z38,2)="00","20"&amp;LEFT(Z38,LEN(Z38)-2),IF(RIGHT(Z38,1)="0","10"&amp;LEFT(Z38,LEN(Z38)-1),"error"))))))</f>
        <v>10286</v>
      </c>
      <c r="AA43" s="59"/>
      <c r="AB43" s="59"/>
      <c r="AC43" s="62">
        <v>2.63</v>
      </c>
      <c r="AD43" s="137"/>
      <c r="AE43" s="137"/>
      <c r="AF43" s="137"/>
      <c r="AG43" s="26"/>
      <c r="AJ43" s="5"/>
    </row>
    <row r="44" spans="2:36" ht="14.25" customHeight="1" x14ac:dyDescent="0.15">
      <c r="B44" s="63">
        <v>2026</v>
      </c>
      <c r="C44" s="119" t="s">
        <v>83</v>
      </c>
      <c r="D44" s="119"/>
      <c r="E44" s="64">
        <v>80300</v>
      </c>
      <c r="F44" s="65">
        <v>2026</v>
      </c>
      <c r="G44" s="119" t="s">
        <v>83</v>
      </c>
      <c r="H44" s="119"/>
      <c r="I44" s="64">
        <v>81400</v>
      </c>
      <c r="J44" s="65">
        <v>2027</v>
      </c>
      <c r="K44" s="119" t="s">
        <v>83</v>
      </c>
      <c r="L44" s="119"/>
      <c r="M44" s="64">
        <v>91300</v>
      </c>
      <c r="N44" s="65">
        <v>2027</v>
      </c>
      <c r="O44" s="119" t="s">
        <v>83</v>
      </c>
      <c r="P44" s="119"/>
      <c r="Q44" s="64">
        <v>91300</v>
      </c>
      <c r="R44" s="65">
        <v>207</v>
      </c>
      <c r="S44" s="119" t="s">
        <v>83</v>
      </c>
      <c r="T44" s="119"/>
      <c r="U44" s="64">
        <v>33000</v>
      </c>
      <c r="V44" s="65">
        <v>205</v>
      </c>
      <c r="W44" s="119" t="s">
        <v>83</v>
      </c>
      <c r="X44" s="119"/>
      <c r="Y44" s="64">
        <v>47300</v>
      </c>
      <c r="Z44" s="65">
        <v>2026</v>
      </c>
      <c r="AA44" s="119" t="s">
        <v>83</v>
      </c>
      <c r="AB44" s="119"/>
      <c r="AC44" s="66">
        <v>80300</v>
      </c>
      <c r="AD44" s="127"/>
      <c r="AE44" s="127"/>
      <c r="AF44" s="127"/>
      <c r="AG44" s="50"/>
      <c r="AI44" s="2"/>
    </row>
    <row r="45" spans="2:36" ht="23.45" customHeight="1" thickBot="1" x14ac:dyDescent="0.2">
      <c r="B45" s="120" t="str">
        <f>B40</f>
        <v>R-dA004-30</v>
      </c>
      <c r="C45" s="121"/>
      <c r="D45" s="121"/>
      <c r="E45" s="122"/>
      <c r="F45" s="128" t="str">
        <f>F40</f>
        <v>R-dA004-50</v>
      </c>
      <c r="G45" s="121"/>
      <c r="H45" s="121"/>
      <c r="I45" s="122"/>
      <c r="J45" s="128" t="str">
        <f>J40</f>
        <v>R-dA004-100</v>
      </c>
      <c r="K45" s="121"/>
      <c r="L45" s="121"/>
      <c r="M45" s="122"/>
      <c r="N45" s="128" t="str">
        <f>N40</f>
        <v>R-dA004-100</v>
      </c>
      <c r="O45" s="121"/>
      <c r="P45" s="121"/>
      <c r="Q45" s="122"/>
      <c r="R45" s="128" t="str">
        <f>R40</f>
        <v>PD-PA006-90</v>
      </c>
      <c r="S45" s="121"/>
      <c r="T45" s="121"/>
      <c r="U45" s="122"/>
      <c r="V45" s="128" t="str">
        <f>V40</f>
        <v>PD-PA008-80</v>
      </c>
      <c r="W45" s="121"/>
      <c r="X45" s="121"/>
      <c r="Y45" s="122"/>
      <c r="Z45" s="128" t="str">
        <f>Z40</f>
        <v>R-dA004-30</v>
      </c>
      <c r="AA45" s="121"/>
      <c r="AB45" s="121"/>
      <c r="AC45" s="129"/>
      <c r="AD45" s="125"/>
      <c r="AE45" s="126"/>
      <c r="AF45" s="126"/>
      <c r="AG45" s="126"/>
      <c r="AI45" s="4"/>
    </row>
    <row r="46" spans="2:36" ht="14.25" hidden="1" thickBot="1" x14ac:dyDescent="0.2">
      <c r="B46" s="82">
        <f>(IF(LEFT(B53,2)="50",RIGHT(B53,LEN(B53)-2)*100000,IF(LEFT(B53,2)="40",RIGHT(B53,LEN(B53)-2)*10000,IF(LEFT(B53,2)="30",RIGHT(B53,LEN(B53)-2)*1000,IF(LEFT(B53,2)="20",RIGHT(B53,LEN(B53)-2)*100,IF(LEFT(B53,2)="10",RIGHT(B53,LEN(B53)-2)*10,""))))))*1.1</f>
        <v>2860.0000000000005</v>
      </c>
      <c r="C46" s="82"/>
      <c r="D46" s="82"/>
      <c r="E46" s="82"/>
      <c r="F46" s="82">
        <f>(IF(LEFT(F53,2)="50",RIGHT(F53,LEN(F53)-2)*100000,IF(LEFT(F53,2)="40",RIGHT(F53,LEN(F53)-2)*10000,IF(LEFT(F53,2)="30",RIGHT(F53,LEN(F53)-2)*1000,IF(LEFT(F53,2)="20",RIGHT(F53,LEN(F53)-2)*100,IF(LEFT(F53,2)="10",RIGHT(F53,LEN(F53)-2)*10,""))))))*1.1</f>
        <v>2860.0000000000005</v>
      </c>
      <c r="G46" s="82"/>
      <c r="H46" s="82"/>
      <c r="I46" s="82"/>
      <c r="J46" s="82">
        <f>(IF(LEFT(J53,2)="50",RIGHT(J53,LEN(J53)-2)*100000,IF(LEFT(J53,2)="40",RIGHT(J53,LEN(J53)-2)*10000,IF(LEFT(J53,2)="30",RIGHT(J53,LEN(J53)-2)*1000,IF(LEFT(J53,2)="20",RIGHT(J53,LEN(J53)-2)*100,IF(LEFT(J53,2)="10",RIGHT(J53,LEN(J53)-2)*10,""))))))*1.1</f>
        <v>2970.0000000000005</v>
      </c>
      <c r="K46" s="82"/>
      <c r="L46" s="82"/>
      <c r="M46" s="82"/>
      <c r="N46" s="82">
        <f>(IF(LEFT(N53,2)="50",RIGHT(N53,LEN(N53)-2)*100000,IF(LEFT(N53,2)="40",RIGHT(N53,LEN(N53)-2)*10000,IF(LEFT(N53,2)="30",RIGHT(N53,LEN(N53)-2)*1000,IF(LEFT(N53,2)="20",RIGHT(N53,LEN(N53)-2)*100,IF(LEFT(N53,2)="10",RIGHT(N53,LEN(N53)-2)*10,""))))))*1.1</f>
        <v>2970.0000000000005</v>
      </c>
      <c r="O46" s="82"/>
      <c r="P46" s="82"/>
      <c r="Q46" s="82"/>
      <c r="R46" s="82">
        <f>(IF(LEFT(R53,2)="50",RIGHT(R53,LEN(R53)-2)*100000,IF(LEFT(R53,2)="40",RIGHT(R53,LEN(R53)-2)*10000,IF(LEFT(R53,2)="30",RIGHT(R53,LEN(R53)-2)*1000,IF(LEFT(R53,2)="20",RIGHT(R53,LEN(R53)-2)*100,IF(LEFT(R53,2)="10",RIGHT(R53,LEN(R53)-2)*10,""))))))*1.1</f>
        <v>770.00000000000011</v>
      </c>
      <c r="S46" s="82"/>
      <c r="T46" s="82"/>
      <c r="U46" s="82"/>
      <c r="V46" s="82">
        <f>(IF(LEFT(V53,2)="50",RIGHT(V53,LEN(V53)-2)*100000,IF(LEFT(V53,2)="40",RIGHT(V53,LEN(V53)-2)*10000,IF(LEFT(V53,2)="30",RIGHT(V53,LEN(V53)-2)*1000,IF(LEFT(V53,2)="20",RIGHT(V53,LEN(V53)-2)*100,IF(LEFT(V53,2)="10",RIGHT(V53,LEN(V53)-2)*10,""))))))*1.1</f>
        <v>550</v>
      </c>
      <c r="W46" s="82"/>
      <c r="X46" s="82"/>
      <c r="Y46" s="82"/>
      <c r="Z46" s="82">
        <f>(IF(LEFT(Z53,2)="50",RIGHT(Z53,LEN(Z53)-2)*100000,IF(LEFT(Z53,2)="40",RIGHT(Z53,LEN(Z53)-2)*10000,IF(LEFT(Z53,2)="30",RIGHT(Z53,LEN(Z53)-2)*1000,IF(LEFT(Z53,2)="20",RIGHT(Z53,LEN(Z53)-2)*100,IF(LEFT(Z53,2)="10",RIGHT(Z53,LEN(Z53)-2)*10,""))))))*1.1</f>
        <v>2860.0000000000005</v>
      </c>
      <c r="AA46" s="82"/>
      <c r="AB46" s="82"/>
      <c r="AC46" s="82"/>
      <c r="AD46" s="82"/>
      <c r="AE46" s="82"/>
      <c r="AF46" s="82"/>
      <c r="AG46" s="82"/>
    </row>
    <row r="47" spans="2:36" ht="14.25" hidden="1" thickBot="1" x14ac:dyDescent="0.2">
      <c r="B47" s="82">
        <f>IF(ISERROR(ROUND(B46,-1)),"",ROUND(B46,-1))</f>
        <v>2860</v>
      </c>
      <c r="C47" s="82"/>
      <c r="D47" s="82"/>
      <c r="E47" s="82"/>
      <c r="F47" s="82">
        <f>IF(ISERROR(ROUND(F46,-1)),"",ROUND(F46,-1))</f>
        <v>2860</v>
      </c>
      <c r="G47" s="82"/>
      <c r="H47" s="82"/>
      <c r="I47" s="82"/>
      <c r="J47" s="82">
        <f>IF(ISERROR(ROUND(J46,-1)),"",ROUND(J46,-1))</f>
        <v>2970</v>
      </c>
      <c r="K47" s="82"/>
      <c r="L47" s="82"/>
      <c r="M47" s="82"/>
      <c r="N47" s="82">
        <f>IF(ISERROR(ROUND(N46,-1)),"",ROUND(N46,-1))</f>
        <v>2970</v>
      </c>
      <c r="O47" s="82"/>
      <c r="P47" s="82"/>
      <c r="Q47" s="82"/>
      <c r="R47" s="82">
        <f>IF(ISERROR(ROUND(R46,-1)),"",ROUND(R46,-1))</f>
        <v>770</v>
      </c>
      <c r="S47" s="82"/>
      <c r="T47" s="82"/>
      <c r="U47" s="82"/>
      <c r="V47" s="82">
        <f>IF(ISERROR(ROUND(V46,-1)),"",ROUND(V46,-1))</f>
        <v>550</v>
      </c>
      <c r="W47" s="82"/>
      <c r="X47" s="82"/>
      <c r="Y47" s="82"/>
      <c r="Z47" s="82">
        <f>IF(ISERROR(ROUND(Z46,-1)),"",ROUND(Z46,-1))</f>
        <v>2860</v>
      </c>
      <c r="AA47" s="82"/>
      <c r="AB47" s="82"/>
      <c r="AC47" s="82"/>
      <c r="AD47" s="82"/>
      <c r="AE47" s="82"/>
      <c r="AF47" s="82"/>
      <c r="AG47" s="82"/>
    </row>
    <row r="48" spans="2:36" ht="14.1" customHeight="1" x14ac:dyDescent="0.15">
      <c r="B48" s="123" t="s">
        <v>76</v>
      </c>
      <c r="C48" s="124"/>
      <c r="D48" s="124"/>
      <c r="E48" s="51">
        <v>0.3</v>
      </c>
      <c r="F48" s="138" t="s">
        <v>76</v>
      </c>
      <c r="G48" s="124"/>
      <c r="H48" s="124"/>
      <c r="I48" s="51">
        <v>0.5</v>
      </c>
      <c r="J48" s="138" t="s">
        <v>76</v>
      </c>
      <c r="K48" s="124"/>
      <c r="L48" s="124"/>
      <c r="M48" s="51" t="s">
        <v>23</v>
      </c>
      <c r="N48" s="138" t="s">
        <v>76</v>
      </c>
      <c r="O48" s="124"/>
      <c r="P48" s="124"/>
      <c r="Q48" s="51" t="s">
        <v>23</v>
      </c>
      <c r="R48" s="138" t="s">
        <v>76</v>
      </c>
      <c r="S48" s="124"/>
      <c r="T48" s="124"/>
      <c r="U48" s="51" t="s">
        <v>77</v>
      </c>
      <c r="V48" s="138" t="s">
        <v>76</v>
      </c>
      <c r="W48" s="124"/>
      <c r="X48" s="124"/>
      <c r="Y48" s="51" t="s">
        <v>45</v>
      </c>
      <c r="Z48" s="138" t="s">
        <v>76</v>
      </c>
      <c r="AA48" s="124"/>
      <c r="AB48" s="124"/>
      <c r="AC48" s="52">
        <v>0.3</v>
      </c>
      <c r="AD48" s="139"/>
      <c r="AE48" s="139"/>
      <c r="AF48" s="139"/>
      <c r="AG48" s="45"/>
      <c r="AJ48" s="3"/>
    </row>
    <row r="49" spans="2:36" ht="15.95" customHeight="1" x14ac:dyDescent="0.15">
      <c r="B49" s="113" t="s">
        <v>78</v>
      </c>
      <c r="C49" s="114"/>
      <c r="D49" s="114"/>
      <c r="E49" s="115"/>
      <c r="F49" s="130" t="s">
        <v>79</v>
      </c>
      <c r="G49" s="114"/>
      <c r="H49" s="114"/>
      <c r="I49" s="115"/>
      <c r="J49" s="130" t="s">
        <v>80</v>
      </c>
      <c r="K49" s="114"/>
      <c r="L49" s="114"/>
      <c r="M49" s="115"/>
      <c r="N49" s="130" t="s">
        <v>80</v>
      </c>
      <c r="O49" s="114"/>
      <c r="P49" s="114"/>
      <c r="Q49" s="115"/>
      <c r="R49" s="130" t="s">
        <v>81</v>
      </c>
      <c r="S49" s="114"/>
      <c r="T49" s="114"/>
      <c r="U49" s="115"/>
      <c r="V49" s="130" t="s">
        <v>82</v>
      </c>
      <c r="W49" s="114"/>
      <c r="X49" s="114"/>
      <c r="Y49" s="115"/>
      <c r="Z49" s="130" t="s">
        <v>78</v>
      </c>
      <c r="AA49" s="114"/>
      <c r="AB49" s="114"/>
      <c r="AC49" s="131"/>
      <c r="AD49" s="47"/>
      <c r="AE49" s="134"/>
      <c r="AF49" s="134"/>
      <c r="AG49" s="134"/>
      <c r="AJ49" s="5"/>
    </row>
    <row r="50" spans="2:36" ht="11.45" customHeight="1" x14ac:dyDescent="0.15">
      <c r="B50" s="116"/>
      <c r="C50" s="117"/>
      <c r="D50" s="117"/>
      <c r="E50" s="118"/>
      <c r="F50" s="132"/>
      <c r="G50" s="117"/>
      <c r="H50" s="117"/>
      <c r="I50" s="118"/>
      <c r="J50" s="132"/>
      <c r="K50" s="117"/>
      <c r="L50" s="117"/>
      <c r="M50" s="118"/>
      <c r="N50" s="132"/>
      <c r="O50" s="117"/>
      <c r="P50" s="117"/>
      <c r="Q50" s="118"/>
      <c r="R50" s="132"/>
      <c r="S50" s="117"/>
      <c r="T50" s="117"/>
      <c r="U50" s="118"/>
      <c r="V50" s="132"/>
      <c r="W50" s="117"/>
      <c r="X50" s="117"/>
      <c r="Y50" s="118"/>
      <c r="Z50" s="132"/>
      <c r="AA50" s="117"/>
      <c r="AB50" s="117"/>
      <c r="AC50" s="133"/>
      <c r="AD50" s="135"/>
      <c r="AE50" s="135"/>
      <c r="AF50" s="136"/>
      <c r="AG50" s="136"/>
      <c r="AJ50" s="5"/>
    </row>
    <row r="51" spans="2:36" ht="9.9499999999999993" customHeight="1" x14ac:dyDescent="0.15">
      <c r="B51" s="53"/>
      <c r="C51" s="54"/>
      <c r="D51" s="54"/>
      <c r="E51" s="55"/>
      <c r="F51" s="56"/>
      <c r="G51" s="54"/>
      <c r="H51" s="54"/>
      <c r="I51" s="55"/>
      <c r="J51" s="56"/>
      <c r="K51" s="54"/>
      <c r="L51" s="54"/>
      <c r="M51" s="55"/>
      <c r="N51" s="56"/>
      <c r="O51" s="54"/>
      <c r="P51" s="54"/>
      <c r="Q51" s="55"/>
      <c r="R51" s="56"/>
      <c r="S51" s="54"/>
      <c r="T51" s="54"/>
      <c r="U51" s="55"/>
      <c r="V51" s="56"/>
      <c r="W51" s="54"/>
      <c r="X51" s="54"/>
      <c r="Y51" s="55"/>
      <c r="Z51" s="56"/>
      <c r="AA51" s="54"/>
      <c r="AB51" s="54"/>
      <c r="AC51" s="57"/>
      <c r="AD51" s="7"/>
      <c r="AE51" s="7"/>
      <c r="AF51" s="7"/>
      <c r="AG51" s="49"/>
      <c r="AJ51" s="5"/>
    </row>
    <row r="52" spans="2:36" ht="13.5" customHeight="1" x14ac:dyDescent="0.15">
      <c r="B52" s="58" t="str">
        <f>IF(B47="","",IF(RIGHT(B47,5)="00000","50"&amp;LEFT(B47,LEN(B47)-5),IF(RIGHT(B47,4)="0000","40"&amp;LEFT(B47,LEN(B47)-4),IF(RIGHT(B47,3)="000","30"&amp;LEFT(B47,LEN(B47)-3),IF(RIGHT(B47,2)="00","20"&amp;LEFT(B47,LEN(B47)-2),IF(RIGHT(B47,1)="0","10"&amp;LEFT(B47,LEN(B47)-1),"error"))))))</f>
        <v>10286</v>
      </c>
      <c r="C52" s="59"/>
      <c r="D52" s="59"/>
      <c r="E52" s="60">
        <v>2.63</v>
      </c>
      <c r="F52" s="61" t="str">
        <f>IF(F47="","",IF(RIGHT(F47,5)="00000","50"&amp;LEFT(F47,LEN(F47)-5),IF(RIGHT(F47,4)="0000","40"&amp;LEFT(F47,LEN(F47)-4),IF(RIGHT(F47,3)="000","30"&amp;LEFT(F47,LEN(F47)-3),IF(RIGHT(F47,2)="00","20"&amp;LEFT(F47,LEN(F47)-2),IF(RIGHT(F47,1)="0","10"&amp;LEFT(F47,LEN(F47)-1),"error"))))))</f>
        <v>10286</v>
      </c>
      <c r="G52" s="59"/>
      <c r="H52" s="59"/>
      <c r="I52" s="60">
        <v>2.63</v>
      </c>
      <c r="J52" s="61" t="str">
        <f>IF(J47="","",IF(RIGHT(J47,5)="00000","50"&amp;LEFT(J47,LEN(J47)-5),IF(RIGHT(J47,4)="0000","40"&amp;LEFT(J47,LEN(J47)-4),IF(RIGHT(J47,3)="000","30"&amp;LEFT(J47,LEN(J47)-3),IF(RIGHT(J47,2)="00","20"&amp;LEFT(J47,LEN(J47)-2),IF(RIGHT(J47,1)="0","10"&amp;LEFT(J47,LEN(J47)-1),"error"))))))</f>
        <v>10297</v>
      </c>
      <c r="K52" s="59"/>
      <c r="L52" s="59"/>
      <c r="M52" s="60">
        <v>2.73</v>
      </c>
      <c r="N52" s="61" t="str">
        <f>IF(N47="","",IF(RIGHT(N47,5)="00000","50"&amp;LEFT(N47,LEN(N47)-5),IF(RIGHT(N47,4)="0000","40"&amp;LEFT(N47,LEN(N47)-4),IF(RIGHT(N47,3)="000","30"&amp;LEFT(N47,LEN(N47)-3),IF(RIGHT(N47,2)="00","20"&amp;LEFT(N47,LEN(N47)-2),IF(RIGHT(N47,1)="0","10"&amp;LEFT(N47,LEN(N47)-1),"error"))))))</f>
        <v>10297</v>
      </c>
      <c r="O52" s="59"/>
      <c r="P52" s="59"/>
      <c r="Q52" s="60">
        <v>2.75</v>
      </c>
      <c r="R52" s="61" t="str">
        <f>IF(R47="","",IF(RIGHT(R47,5)="00000","50"&amp;LEFT(R47,LEN(R47)-5),IF(RIGHT(R47,4)="0000","40"&amp;LEFT(R47,LEN(R47)-4),IF(RIGHT(R47,3)="000","30"&amp;LEFT(R47,LEN(R47)-3),IF(RIGHT(R47,2)="00","20"&amp;LEFT(R47,LEN(R47)-2),IF(RIGHT(R47,1)="0","10"&amp;LEFT(R47,LEN(R47)-1),"error"))))))</f>
        <v>1077</v>
      </c>
      <c r="S52" s="59"/>
      <c r="T52" s="59"/>
      <c r="U52" s="60">
        <v>0.71</v>
      </c>
      <c r="V52" s="61" t="str">
        <f>IF(V47="","",IF(RIGHT(V47,5)="00000","50"&amp;LEFT(V47,LEN(V47)-5),IF(RIGHT(V47,4)="0000","40"&amp;LEFT(V47,LEN(V47)-4),IF(RIGHT(V47,3)="000","30"&amp;LEFT(V47,LEN(V47)-3),IF(RIGHT(V47,2)="00","20"&amp;LEFT(V47,LEN(V47)-2),IF(RIGHT(V47,1)="0","10"&amp;LEFT(V47,LEN(V47)-1),"error"))))))</f>
        <v>1055</v>
      </c>
      <c r="W52" s="59"/>
      <c r="X52" s="59"/>
      <c r="Y52" s="60">
        <v>0.53</v>
      </c>
      <c r="Z52" s="61" t="str">
        <f>IF(Z47="","",IF(RIGHT(Z47,5)="00000","50"&amp;LEFT(Z47,LEN(Z47)-5),IF(RIGHT(Z47,4)="0000","40"&amp;LEFT(Z47,LEN(Z47)-4),IF(RIGHT(Z47,3)="000","30"&amp;LEFT(Z47,LEN(Z47)-3),IF(RIGHT(Z47,2)="00","20"&amp;LEFT(Z47,LEN(Z47)-2),IF(RIGHT(Z47,1)="0","10"&amp;LEFT(Z47,LEN(Z47)-1),"error"))))))</f>
        <v>10286</v>
      </c>
      <c r="AA52" s="59"/>
      <c r="AB52" s="59"/>
      <c r="AC52" s="62">
        <v>2.63</v>
      </c>
      <c r="AD52" s="137"/>
      <c r="AE52" s="137"/>
      <c r="AF52" s="137"/>
      <c r="AG52" s="26"/>
      <c r="AJ52" s="5"/>
    </row>
    <row r="53" spans="2:36" ht="14.25" customHeight="1" x14ac:dyDescent="0.15">
      <c r="B53" s="63">
        <v>2026</v>
      </c>
      <c r="C53" s="119" t="s">
        <v>83</v>
      </c>
      <c r="D53" s="119"/>
      <c r="E53" s="64">
        <v>80300</v>
      </c>
      <c r="F53" s="65">
        <v>2026</v>
      </c>
      <c r="G53" s="119" t="s">
        <v>83</v>
      </c>
      <c r="H53" s="119"/>
      <c r="I53" s="64">
        <v>81400</v>
      </c>
      <c r="J53" s="65">
        <v>2027</v>
      </c>
      <c r="K53" s="119" t="s">
        <v>83</v>
      </c>
      <c r="L53" s="119"/>
      <c r="M53" s="64">
        <v>91300</v>
      </c>
      <c r="N53" s="65">
        <v>2027</v>
      </c>
      <c r="O53" s="119" t="s">
        <v>83</v>
      </c>
      <c r="P53" s="119"/>
      <c r="Q53" s="64">
        <v>91300</v>
      </c>
      <c r="R53" s="65">
        <v>207</v>
      </c>
      <c r="S53" s="119" t="s">
        <v>83</v>
      </c>
      <c r="T53" s="119"/>
      <c r="U53" s="64">
        <v>33000</v>
      </c>
      <c r="V53" s="65">
        <v>205</v>
      </c>
      <c r="W53" s="119" t="s">
        <v>83</v>
      </c>
      <c r="X53" s="119"/>
      <c r="Y53" s="64">
        <v>47300</v>
      </c>
      <c r="Z53" s="65">
        <v>2026</v>
      </c>
      <c r="AA53" s="119" t="s">
        <v>83</v>
      </c>
      <c r="AB53" s="119"/>
      <c r="AC53" s="66">
        <v>80300</v>
      </c>
      <c r="AD53" s="127"/>
      <c r="AE53" s="127"/>
      <c r="AF53" s="127"/>
      <c r="AG53" s="50"/>
      <c r="AI53" s="2"/>
    </row>
    <row r="54" spans="2:36" ht="23.45" customHeight="1" thickBot="1" x14ac:dyDescent="0.2">
      <c r="B54" s="120" t="str">
        <f>B49</f>
        <v>R-dA004-30</v>
      </c>
      <c r="C54" s="121"/>
      <c r="D54" s="121"/>
      <c r="E54" s="122"/>
      <c r="F54" s="128" t="str">
        <f>F49</f>
        <v>R-dA004-50</v>
      </c>
      <c r="G54" s="121"/>
      <c r="H54" s="121"/>
      <c r="I54" s="122"/>
      <c r="J54" s="128" t="str">
        <f>J49</f>
        <v>R-dA004-100</v>
      </c>
      <c r="K54" s="121"/>
      <c r="L54" s="121"/>
      <c r="M54" s="122"/>
      <c r="N54" s="128" t="str">
        <f>N49</f>
        <v>R-dA004-100</v>
      </c>
      <c r="O54" s="121"/>
      <c r="P54" s="121"/>
      <c r="Q54" s="122"/>
      <c r="R54" s="128" t="str">
        <f>R49</f>
        <v>PD-PA006-90</v>
      </c>
      <c r="S54" s="121"/>
      <c r="T54" s="121"/>
      <c r="U54" s="122"/>
      <c r="V54" s="128" t="str">
        <f>V49</f>
        <v>PD-PA008-80</v>
      </c>
      <c r="W54" s="121"/>
      <c r="X54" s="121"/>
      <c r="Y54" s="122"/>
      <c r="Z54" s="128" t="str">
        <f>Z49</f>
        <v>R-dA004-30</v>
      </c>
      <c r="AA54" s="121"/>
      <c r="AB54" s="121"/>
      <c r="AC54" s="129"/>
      <c r="AD54" s="125"/>
      <c r="AE54" s="126"/>
      <c r="AF54" s="126"/>
      <c r="AG54" s="126"/>
      <c r="AI54" s="4"/>
    </row>
  </sheetData>
  <mergeCells count="327">
    <mergeCell ref="Z1:AC1"/>
    <mergeCell ref="AD1:AG1"/>
    <mergeCell ref="B2:E2"/>
    <mergeCell ref="F2:I2"/>
    <mergeCell ref="J2:M2"/>
    <mergeCell ref="N2:Q2"/>
    <mergeCell ref="R2:U2"/>
    <mergeCell ref="V2:Y2"/>
    <mergeCell ref="Z2:AC2"/>
    <mergeCell ref="AD2:AG2"/>
    <mergeCell ref="B1:E1"/>
    <mergeCell ref="F1:I1"/>
    <mergeCell ref="J1:M1"/>
    <mergeCell ref="N1:Q1"/>
    <mergeCell ref="R1:U1"/>
    <mergeCell ref="V1:Y1"/>
    <mergeCell ref="Z3:AB3"/>
    <mergeCell ref="AD3:AF3"/>
    <mergeCell ref="C4:E4"/>
    <mergeCell ref="G4:I4"/>
    <mergeCell ref="K4:M4"/>
    <mergeCell ref="O4:Q4"/>
    <mergeCell ref="S4:U4"/>
    <mergeCell ref="W4:Y4"/>
    <mergeCell ref="AA4:AC4"/>
    <mergeCell ref="AE4:AG4"/>
    <mergeCell ref="B3:D3"/>
    <mergeCell ref="F3:H3"/>
    <mergeCell ref="J3:L3"/>
    <mergeCell ref="N3:P3"/>
    <mergeCell ref="R3:T3"/>
    <mergeCell ref="V3:X3"/>
    <mergeCell ref="Z5:AA5"/>
    <mergeCell ref="AB5:AC5"/>
    <mergeCell ref="AD5:AE5"/>
    <mergeCell ref="AF5:AG5"/>
    <mergeCell ref="B7:D7"/>
    <mergeCell ref="F7:H7"/>
    <mergeCell ref="J7:L7"/>
    <mergeCell ref="N7:P7"/>
    <mergeCell ref="R7:T7"/>
    <mergeCell ref="V7:X7"/>
    <mergeCell ref="N5:O5"/>
    <mergeCell ref="P5:Q5"/>
    <mergeCell ref="R5:S5"/>
    <mergeCell ref="T5:U5"/>
    <mergeCell ref="V5:W5"/>
    <mergeCell ref="X5:Y5"/>
    <mergeCell ref="B5:C5"/>
    <mergeCell ref="D5:E5"/>
    <mergeCell ref="F5:G5"/>
    <mergeCell ref="H5:I5"/>
    <mergeCell ref="J5:K5"/>
    <mergeCell ref="L5:M5"/>
    <mergeCell ref="Z7:AB7"/>
    <mergeCell ref="AD7:AF7"/>
    <mergeCell ref="B8:D8"/>
    <mergeCell ref="F8:H8"/>
    <mergeCell ref="J8:L8"/>
    <mergeCell ref="N8:P8"/>
    <mergeCell ref="R8:T8"/>
    <mergeCell ref="V8:X8"/>
    <mergeCell ref="Z8:AB8"/>
    <mergeCell ref="AD8:AF8"/>
    <mergeCell ref="Z9:AC9"/>
    <mergeCell ref="AD9:AG9"/>
    <mergeCell ref="B10:E10"/>
    <mergeCell ref="F10:I10"/>
    <mergeCell ref="J10:M10"/>
    <mergeCell ref="N10:Q10"/>
    <mergeCell ref="R10:U10"/>
    <mergeCell ref="V10:Y10"/>
    <mergeCell ref="Z10:AC10"/>
    <mergeCell ref="AD10:AG10"/>
    <mergeCell ref="B9:E9"/>
    <mergeCell ref="F9:I9"/>
    <mergeCell ref="J9:M9"/>
    <mergeCell ref="N9:Q9"/>
    <mergeCell ref="R9:U9"/>
    <mergeCell ref="V9:Y9"/>
    <mergeCell ref="Z11:AC11"/>
    <mergeCell ref="AD11:AG11"/>
    <mergeCell ref="B12:D12"/>
    <mergeCell ref="F12:H12"/>
    <mergeCell ref="J12:L12"/>
    <mergeCell ref="N12:P12"/>
    <mergeCell ref="R12:T12"/>
    <mergeCell ref="V12:X12"/>
    <mergeCell ref="Z12:AB12"/>
    <mergeCell ref="AD12:AF12"/>
    <mergeCell ref="B11:E11"/>
    <mergeCell ref="F11:I11"/>
    <mergeCell ref="J11:M11"/>
    <mergeCell ref="N11:Q11"/>
    <mergeCell ref="R11:U11"/>
    <mergeCell ref="V11:Y11"/>
    <mergeCell ref="Z13:AC14"/>
    <mergeCell ref="AE13:AG13"/>
    <mergeCell ref="AD14:AE14"/>
    <mergeCell ref="AF14:AG14"/>
    <mergeCell ref="AD16:AF16"/>
    <mergeCell ref="C17:D17"/>
    <mergeCell ref="G17:H17"/>
    <mergeCell ref="K17:L17"/>
    <mergeCell ref="O17:P17"/>
    <mergeCell ref="S17:T17"/>
    <mergeCell ref="B13:E14"/>
    <mergeCell ref="F13:I14"/>
    <mergeCell ref="J13:M14"/>
    <mergeCell ref="N13:Q14"/>
    <mergeCell ref="R13:U14"/>
    <mergeCell ref="V13:Y14"/>
    <mergeCell ref="W17:X17"/>
    <mergeCell ref="AA17:AB17"/>
    <mergeCell ref="AD17:AF17"/>
    <mergeCell ref="B18:E18"/>
    <mergeCell ref="F18:I18"/>
    <mergeCell ref="J18:M18"/>
    <mergeCell ref="N18:Q18"/>
    <mergeCell ref="R18:U18"/>
    <mergeCell ref="V18:Y18"/>
    <mergeCell ref="Z18:AC18"/>
    <mergeCell ref="AD18:AG18"/>
    <mergeCell ref="B19:E19"/>
    <mergeCell ref="F19:I19"/>
    <mergeCell ref="J19:M19"/>
    <mergeCell ref="N19:Q19"/>
    <mergeCell ref="R19:U19"/>
    <mergeCell ref="V19:Y19"/>
    <mergeCell ref="Z19:AC19"/>
    <mergeCell ref="AD19:AG19"/>
    <mergeCell ref="Z20:AC20"/>
    <mergeCell ref="AD20:AG20"/>
    <mergeCell ref="B21:D21"/>
    <mergeCell ref="F21:H21"/>
    <mergeCell ref="J21:L21"/>
    <mergeCell ref="N21:P21"/>
    <mergeCell ref="R21:T21"/>
    <mergeCell ref="V21:X21"/>
    <mergeCell ref="Z21:AB21"/>
    <mergeCell ref="AD21:AF21"/>
    <mergeCell ref="B20:E20"/>
    <mergeCell ref="F20:I20"/>
    <mergeCell ref="J20:M20"/>
    <mergeCell ref="N20:Q20"/>
    <mergeCell ref="R20:U20"/>
    <mergeCell ref="V20:Y20"/>
    <mergeCell ref="Z22:AC23"/>
    <mergeCell ref="AE22:AG22"/>
    <mergeCell ref="AD23:AE23"/>
    <mergeCell ref="AF23:AG23"/>
    <mergeCell ref="AD25:AF25"/>
    <mergeCell ref="C26:D26"/>
    <mergeCell ref="G26:H26"/>
    <mergeCell ref="K26:L26"/>
    <mergeCell ref="O26:P26"/>
    <mergeCell ref="S26:T26"/>
    <mergeCell ref="B22:E23"/>
    <mergeCell ref="F22:I23"/>
    <mergeCell ref="J22:M23"/>
    <mergeCell ref="N22:Q23"/>
    <mergeCell ref="R22:U23"/>
    <mergeCell ref="V22:Y23"/>
    <mergeCell ref="W26:X26"/>
    <mergeCell ref="AA26:AB26"/>
    <mergeCell ref="AD26:AF26"/>
    <mergeCell ref="B27:E27"/>
    <mergeCell ref="F27:I27"/>
    <mergeCell ref="J27:M27"/>
    <mergeCell ref="N27:Q27"/>
    <mergeCell ref="R27:U27"/>
    <mergeCell ref="V27:Y27"/>
    <mergeCell ref="Z27:AC27"/>
    <mergeCell ref="AD27:AG27"/>
    <mergeCell ref="B28:E28"/>
    <mergeCell ref="F28:I28"/>
    <mergeCell ref="J28:M28"/>
    <mergeCell ref="N28:Q28"/>
    <mergeCell ref="R28:U28"/>
    <mergeCell ref="V28:Y28"/>
    <mergeCell ref="Z28:AC28"/>
    <mergeCell ref="AD28:AG28"/>
    <mergeCell ref="Z29:AC29"/>
    <mergeCell ref="AD29:AG29"/>
    <mergeCell ref="B30:D30"/>
    <mergeCell ref="F30:H30"/>
    <mergeCell ref="J30:L30"/>
    <mergeCell ref="N30:P30"/>
    <mergeCell ref="R30:T30"/>
    <mergeCell ref="V30:X30"/>
    <mergeCell ref="Z30:AB30"/>
    <mergeCell ref="AD30:AF30"/>
    <mergeCell ref="B29:E29"/>
    <mergeCell ref="F29:I29"/>
    <mergeCell ref="J29:M29"/>
    <mergeCell ref="N29:Q29"/>
    <mergeCell ref="R29:U29"/>
    <mergeCell ref="V29:Y29"/>
    <mergeCell ref="Z31:AC32"/>
    <mergeCell ref="AE31:AG31"/>
    <mergeCell ref="AD32:AE32"/>
    <mergeCell ref="AF32:AG32"/>
    <mergeCell ref="AD34:AF34"/>
    <mergeCell ref="C35:D35"/>
    <mergeCell ref="G35:H35"/>
    <mergeCell ref="K35:L35"/>
    <mergeCell ref="O35:P35"/>
    <mergeCell ref="S35:T35"/>
    <mergeCell ref="B31:E32"/>
    <mergeCell ref="F31:I32"/>
    <mergeCell ref="J31:M32"/>
    <mergeCell ref="N31:Q32"/>
    <mergeCell ref="R31:U32"/>
    <mergeCell ref="V31:Y32"/>
    <mergeCell ref="W35:X35"/>
    <mergeCell ref="AA35:AB35"/>
    <mergeCell ref="AD35:AF35"/>
    <mergeCell ref="B36:E36"/>
    <mergeCell ref="F36:I36"/>
    <mergeCell ref="J36:M36"/>
    <mergeCell ref="N36:Q36"/>
    <mergeCell ref="R36:U36"/>
    <mergeCell ref="V36:Y36"/>
    <mergeCell ref="Z36:AC36"/>
    <mergeCell ref="AD36:AG36"/>
    <mergeCell ref="B37:E37"/>
    <mergeCell ref="F37:I37"/>
    <mergeCell ref="J37:M37"/>
    <mergeCell ref="N37:Q37"/>
    <mergeCell ref="R37:U37"/>
    <mergeCell ref="V37:Y37"/>
    <mergeCell ref="Z37:AC37"/>
    <mergeCell ref="AD37:AG37"/>
    <mergeCell ref="Z38:AC38"/>
    <mergeCell ref="AD38:AG38"/>
    <mergeCell ref="B39:D39"/>
    <mergeCell ref="F39:H39"/>
    <mergeCell ref="J39:L39"/>
    <mergeCell ref="N39:P39"/>
    <mergeCell ref="R39:T39"/>
    <mergeCell ref="V39:X39"/>
    <mergeCell ref="Z39:AB39"/>
    <mergeCell ref="AD39:AF39"/>
    <mergeCell ref="B38:E38"/>
    <mergeCell ref="F38:I38"/>
    <mergeCell ref="J38:M38"/>
    <mergeCell ref="N38:Q38"/>
    <mergeCell ref="R38:U38"/>
    <mergeCell ref="V38:Y38"/>
    <mergeCell ref="Z40:AC41"/>
    <mergeCell ref="AE40:AG40"/>
    <mergeCell ref="AD41:AE41"/>
    <mergeCell ref="AF41:AG41"/>
    <mergeCell ref="AD43:AF43"/>
    <mergeCell ref="C44:D44"/>
    <mergeCell ref="G44:H44"/>
    <mergeCell ref="K44:L44"/>
    <mergeCell ref="O44:P44"/>
    <mergeCell ref="S44:T44"/>
    <mergeCell ref="B40:E41"/>
    <mergeCell ref="F40:I41"/>
    <mergeCell ref="J40:M41"/>
    <mergeCell ref="N40:Q41"/>
    <mergeCell ref="R40:U41"/>
    <mergeCell ref="V40:Y41"/>
    <mergeCell ref="W44:X44"/>
    <mergeCell ref="AA44:AB44"/>
    <mergeCell ref="AD44:AF44"/>
    <mergeCell ref="B45:E45"/>
    <mergeCell ref="F45:I45"/>
    <mergeCell ref="J45:M45"/>
    <mergeCell ref="N45:Q45"/>
    <mergeCell ref="R45:U45"/>
    <mergeCell ref="V45:Y45"/>
    <mergeCell ref="Z45:AC45"/>
    <mergeCell ref="AD45:AG45"/>
    <mergeCell ref="B46:E46"/>
    <mergeCell ref="F46:I46"/>
    <mergeCell ref="J46:M46"/>
    <mergeCell ref="N46:Q46"/>
    <mergeCell ref="R46:U46"/>
    <mergeCell ref="V46:Y46"/>
    <mergeCell ref="Z46:AC46"/>
    <mergeCell ref="AD46:AG46"/>
    <mergeCell ref="Z47:AC47"/>
    <mergeCell ref="AD47:AG47"/>
    <mergeCell ref="B48:D48"/>
    <mergeCell ref="F48:H48"/>
    <mergeCell ref="J48:L48"/>
    <mergeCell ref="N48:P48"/>
    <mergeCell ref="R48:T48"/>
    <mergeCell ref="V48:X48"/>
    <mergeCell ref="Z48:AB48"/>
    <mergeCell ref="AD48:AF48"/>
    <mergeCell ref="B47:E47"/>
    <mergeCell ref="F47:I47"/>
    <mergeCell ref="J47:M47"/>
    <mergeCell ref="N47:Q47"/>
    <mergeCell ref="R47:U47"/>
    <mergeCell ref="V47:Y47"/>
    <mergeCell ref="Z49:AC50"/>
    <mergeCell ref="AE49:AG49"/>
    <mergeCell ref="AD50:AE50"/>
    <mergeCell ref="AF50:AG50"/>
    <mergeCell ref="AD52:AF52"/>
    <mergeCell ref="C53:D53"/>
    <mergeCell ref="G53:H53"/>
    <mergeCell ref="K53:L53"/>
    <mergeCell ref="O53:P53"/>
    <mergeCell ref="S53:T53"/>
    <mergeCell ref="B49:E50"/>
    <mergeCell ref="F49:I50"/>
    <mergeCell ref="J49:M50"/>
    <mergeCell ref="N49:Q50"/>
    <mergeCell ref="R49:U50"/>
    <mergeCell ref="V49:Y50"/>
    <mergeCell ref="AD54:AG54"/>
    <mergeCell ref="W53:X53"/>
    <mergeCell ref="AA53:AB53"/>
    <mergeCell ref="AD53:AF53"/>
    <mergeCell ref="B54:E54"/>
    <mergeCell ref="F54:I54"/>
    <mergeCell ref="J54:M54"/>
    <mergeCell ref="N54:Q54"/>
    <mergeCell ref="R54:U54"/>
    <mergeCell ref="V54:Y54"/>
    <mergeCell ref="Z54:AC54"/>
  </mergeCells>
  <phoneticPr fontId="2"/>
  <conditionalFormatting sqref="B16:B17">
    <cfRule type="expression" dxfId="507" priority="438">
      <formula>OR(B16="Pt900/K18",B16="Pt900/K18/K18WG")</formula>
    </cfRule>
    <cfRule type="expression" dxfId="506" priority="439">
      <formula>B16="K18PG"</formula>
    </cfRule>
    <cfRule type="expression" dxfId="505" priority="440">
      <formula>B16="K18WG"</formula>
    </cfRule>
    <cfRule type="expression" dxfId="504" priority="441">
      <formula>B16="K18"</formula>
    </cfRule>
  </conditionalFormatting>
  <conditionalFormatting sqref="B25:B26">
    <cfRule type="expression" dxfId="503" priority="345">
      <formula>OR(B25="Pt900/K18",B25="Pt900/K18/K18WG")</formula>
    </cfRule>
    <cfRule type="expression" dxfId="502" priority="348">
      <formula>B25="K18"</formula>
    </cfRule>
    <cfRule type="expression" dxfId="501" priority="346">
      <formula>B25="K18PG"</formula>
    </cfRule>
    <cfRule type="expression" dxfId="500" priority="347">
      <formula>B25="K18WG"</formula>
    </cfRule>
  </conditionalFormatting>
  <conditionalFormatting sqref="B34:B35">
    <cfRule type="expression" dxfId="499" priority="254">
      <formula>B34="K18WG"</formula>
    </cfRule>
    <cfRule type="expression" dxfId="498" priority="253">
      <formula>B34="K18PG"</formula>
    </cfRule>
    <cfRule type="expression" dxfId="497" priority="252">
      <formula>OR(B34="Pt900/K18",B34="Pt900/K18/K18WG")</formula>
    </cfRule>
    <cfRule type="expression" dxfId="496" priority="255">
      <formula>B34="K18"</formula>
    </cfRule>
  </conditionalFormatting>
  <conditionalFormatting sqref="B43:B44">
    <cfRule type="expression" dxfId="495" priority="160">
      <formula>B43="K18PG"</formula>
    </cfRule>
    <cfRule type="expression" dxfId="494" priority="162">
      <formula>B43="K18"</formula>
    </cfRule>
    <cfRule type="expression" dxfId="493" priority="161">
      <formula>B43="K18WG"</formula>
    </cfRule>
    <cfRule type="expression" dxfId="492" priority="159">
      <formula>OR(B43="Pt900/K18",B43="Pt900/K18/K18WG")</formula>
    </cfRule>
  </conditionalFormatting>
  <conditionalFormatting sqref="B52:B53">
    <cfRule type="expression" dxfId="491" priority="69">
      <formula>B52="K18"</formula>
    </cfRule>
    <cfRule type="expression" dxfId="490" priority="67">
      <formula>B52="K18PG"</formula>
    </cfRule>
    <cfRule type="expression" dxfId="489" priority="66">
      <formula>OR(B52="Pt900/K18",B52="Pt900/K18/K18WG")</formula>
    </cfRule>
    <cfRule type="expression" dxfId="488" priority="68">
      <formula>B52="K18WG"</formula>
    </cfRule>
  </conditionalFormatting>
  <conditionalFormatting sqref="B7:D7">
    <cfRule type="expression" dxfId="487" priority="500">
      <formula>OR(B7="Pt900/K18",B7="Pt900/K18/K18WG")</formula>
    </cfRule>
    <cfRule type="expression" dxfId="486" priority="502">
      <formula>B7="K18WG"</formula>
    </cfRule>
    <cfRule type="expression" dxfId="485" priority="501">
      <formula>B7="K18PG"</formula>
    </cfRule>
    <cfRule type="expression" dxfId="484" priority="503">
      <formula>B7="K18"</formula>
    </cfRule>
  </conditionalFormatting>
  <conditionalFormatting sqref="B3:E6 E7 B8:E9">
    <cfRule type="expression" dxfId="483" priority="508">
      <formula>B3="K18"</formula>
    </cfRule>
    <cfRule type="expression" dxfId="482" priority="505">
      <formula>OR(B3="Pt900/K18",B3="Pt900/K18/K18WG")</formula>
    </cfRule>
    <cfRule type="expression" dxfId="481" priority="506">
      <formula>B3="K18PG"</formula>
    </cfRule>
    <cfRule type="expression" dxfId="480" priority="507">
      <formula>B3="K18WG"</formula>
    </cfRule>
  </conditionalFormatting>
  <conditionalFormatting sqref="B12:AC12 B13 F13 J13 N13 R13 V13 Z13">
    <cfRule type="expression" dxfId="479" priority="454">
      <formula>B12="K18WG"</formula>
    </cfRule>
    <cfRule type="expression" dxfId="478" priority="452">
      <formula>OR(B12="Pt900/K18",B12="Pt900/K18/K18WG")</formula>
    </cfRule>
    <cfRule type="expression" dxfId="477" priority="453">
      <formula>B12="K18PG"</formula>
    </cfRule>
    <cfRule type="expression" dxfId="476" priority="455">
      <formula>B12="K18"</formula>
    </cfRule>
  </conditionalFormatting>
  <conditionalFormatting sqref="B18:AC18">
    <cfRule type="expression" dxfId="475" priority="459">
      <formula>B18="K18WG"</formula>
    </cfRule>
    <cfRule type="expression" dxfId="474" priority="460">
      <formula>B18="K18"</formula>
    </cfRule>
    <cfRule type="expression" dxfId="473" priority="458">
      <formula>B18="K18PG"</formula>
    </cfRule>
    <cfRule type="expression" dxfId="472" priority="457">
      <formula>OR(B18="Pt900/K18",B18="Pt900/K18/K18WG")</formula>
    </cfRule>
  </conditionalFormatting>
  <conditionalFormatting sqref="B21:AC21 B22 F22 J22 N22 R22 V22 Z22">
    <cfRule type="expression" dxfId="471" priority="360">
      <formula>B21="K18PG"</formula>
    </cfRule>
    <cfRule type="expression" dxfId="470" priority="359">
      <formula>OR(B21="Pt900/K18",B21="Pt900/K18/K18WG")</formula>
    </cfRule>
    <cfRule type="expression" dxfId="469" priority="362">
      <formula>B21="K18"</formula>
    </cfRule>
    <cfRule type="expression" dxfId="468" priority="361">
      <formula>B21="K18WG"</formula>
    </cfRule>
  </conditionalFormatting>
  <conditionalFormatting sqref="B27:AC27">
    <cfRule type="expression" dxfId="467" priority="365">
      <formula>B27="K18PG"</formula>
    </cfRule>
    <cfRule type="expression" dxfId="466" priority="364">
      <formula>OR(B27="Pt900/K18",B27="Pt900/K18/K18WG")</formula>
    </cfRule>
    <cfRule type="expression" dxfId="465" priority="366">
      <formula>B27="K18WG"</formula>
    </cfRule>
    <cfRule type="expression" dxfId="464" priority="367">
      <formula>B27="K18"</formula>
    </cfRule>
  </conditionalFormatting>
  <conditionalFormatting sqref="B30:AC30 B31 F31 J31 N31 R31 V31 Z31">
    <cfRule type="expression" dxfId="463" priority="269">
      <formula>B30="K18"</formula>
    </cfRule>
    <cfRule type="expression" dxfId="462" priority="268">
      <formula>B30="K18WG"</formula>
    </cfRule>
    <cfRule type="expression" dxfId="461" priority="267">
      <formula>B30="K18PG"</formula>
    </cfRule>
    <cfRule type="expression" dxfId="460" priority="266">
      <formula>OR(B30="Pt900/K18",B30="Pt900/K18/K18WG")</formula>
    </cfRule>
  </conditionalFormatting>
  <conditionalFormatting sqref="B36:AC36">
    <cfRule type="expression" dxfId="459" priority="272">
      <formula>B36="K18PG"</formula>
    </cfRule>
    <cfRule type="expression" dxfId="458" priority="274">
      <formula>B36="K18"</formula>
    </cfRule>
    <cfRule type="expression" dxfId="457" priority="271">
      <formula>OR(B36="Pt900/K18",B36="Pt900/K18/K18WG")</formula>
    </cfRule>
    <cfRule type="expression" dxfId="456" priority="273">
      <formula>B36="K18WG"</formula>
    </cfRule>
  </conditionalFormatting>
  <conditionalFormatting sqref="B39:AC39 B40 F40 J40 N40 R40 V40 Z40">
    <cfRule type="expression" dxfId="455" priority="175">
      <formula>B39="K18WG"</formula>
    </cfRule>
    <cfRule type="expression" dxfId="454" priority="176">
      <formula>B39="K18"</formula>
    </cfRule>
    <cfRule type="expression" dxfId="453" priority="174">
      <formula>B39="K18PG"</formula>
    </cfRule>
    <cfRule type="expression" dxfId="452" priority="173">
      <formula>OR(B39="Pt900/K18",B39="Pt900/K18/K18WG")</formula>
    </cfRule>
  </conditionalFormatting>
  <conditionalFormatting sqref="B45:AC45">
    <cfRule type="expression" dxfId="451" priority="178">
      <formula>OR(B45="Pt900/K18",B45="Pt900/K18/K18WG")</formula>
    </cfRule>
    <cfRule type="expression" dxfId="450" priority="179">
      <formula>B45="K18PG"</formula>
    </cfRule>
    <cfRule type="expression" dxfId="449" priority="180">
      <formula>B45="K18WG"</formula>
    </cfRule>
    <cfRule type="expression" dxfId="448" priority="181">
      <formula>B45="K18"</formula>
    </cfRule>
  </conditionalFormatting>
  <conditionalFormatting sqref="B48:AC48 B49 F49 J49 N49 R49 V49 Z49">
    <cfRule type="expression" dxfId="447" priority="81">
      <formula>B48="K18PG"</formula>
    </cfRule>
    <cfRule type="expression" dxfId="446" priority="83">
      <formula>B48="K18"</formula>
    </cfRule>
    <cfRule type="expression" dxfId="445" priority="82">
      <formula>B48="K18WG"</formula>
    </cfRule>
    <cfRule type="expression" dxfId="444" priority="80">
      <formula>OR(B48="Pt900/K18",B48="Pt900/K18/K18WG")</formula>
    </cfRule>
  </conditionalFormatting>
  <conditionalFormatting sqref="B54:AC54">
    <cfRule type="expression" dxfId="443" priority="85">
      <formula>OR(B54="Pt900/K18",B54="Pt900/K18/K18WG")</formula>
    </cfRule>
    <cfRule type="expression" dxfId="442" priority="88">
      <formula>B54="K18"</formula>
    </cfRule>
    <cfRule type="expression" dxfId="441" priority="87">
      <formula>B54="K18WG"</formula>
    </cfRule>
    <cfRule type="expression" dxfId="440" priority="86">
      <formula>B54="K18PG"</formula>
    </cfRule>
  </conditionalFormatting>
  <conditionalFormatting sqref="C16:E16">
    <cfRule type="expression" dxfId="439" priority="407">
      <formula>C16="K18"</formula>
    </cfRule>
    <cfRule type="expression" dxfId="438" priority="406">
      <formula>C16="K18WG"</formula>
    </cfRule>
    <cfRule type="expression" dxfId="437" priority="405">
      <formula>C16="K18PG"</formula>
    </cfRule>
    <cfRule type="expression" dxfId="436" priority="404">
      <formula>OR(C16="Pt900/K18",C16="Pt900/K18/K18WG")</formula>
    </cfRule>
  </conditionalFormatting>
  <conditionalFormatting sqref="C25:E25">
    <cfRule type="expression" dxfId="435" priority="313">
      <formula>C25="K18WG"</formula>
    </cfRule>
    <cfRule type="expression" dxfId="434" priority="312">
      <formula>C25="K18PG"</formula>
    </cfRule>
    <cfRule type="expression" dxfId="433" priority="311">
      <formula>OR(C25="Pt900/K18",C25="Pt900/K18/K18WG")</formula>
    </cfRule>
    <cfRule type="expression" dxfId="432" priority="314">
      <formula>C25="K18"</formula>
    </cfRule>
  </conditionalFormatting>
  <conditionalFormatting sqref="C34:E34">
    <cfRule type="expression" dxfId="431" priority="218">
      <formula>OR(C34="Pt900/K18",C34="Pt900/K18/K18WG")</formula>
    </cfRule>
    <cfRule type="expression" dxfId="430" priority="219">
      <formula>C34="K18PG"</formula>
    </cfRule>
    <cfRule type="expression" dxfId="429" priority="220">
      <formula>C34="K18WG"</formula>
    </cfRule>
    <cfRule type="expression" dxfId="428" priority="221">
      <formula>C34="K18"</formula>
    </cfRule>
  </conditionalFormatting>
  <conditionalFormatting sqref="C43:E43">
    <cfRule type="expression" dxfId="427" priority="128">
      <formula>C43="K18"</formula>
    </cfRule>
    <cfRule type="expression" dxfId="426" priority="127">
      <formula>C43="K18WG"</formula>
    </cfRule>
    <cfRule type="expression" dxfId="425" priority="125">
      <formula>OR(C43="Pt900/K18",C43="Pt900/K18/K18WG")</formula>
    </cfRule>
    <cfRule type="expression" dxfId="424" priority="126">
      <formula>C43="K18PG"</formula>
    </cfRule>
  </conditionalFormatting>
  <conditionalFormatting sqref="C52:E52">
    <cfRule type="expression" dxfId="423" priority="32">
      <formula>OR(C52="Pt900/K18",C52="Pt900/K18/K18WG")</formula>
    </cfRule>
    <cfRule type="expression" dxfId="422" priority="33">
      <formula>C52="K18PG"</formula>
    </cfRule>
    <cfRule type="expression" dxfId="421" priority="34">
      <formula>C52="K18WG"</formula>
    </cfRule>
    <cfRule type="expression" dxfId="420" priority="35">
      <formula>C52="K18"</formula>
    </cfRule>
  </conditionalFormatting>
  <conditionalFormatting sqref="E3:E9">
    <cfRule type="expression" dxfId="419" priority="504">
      <formula>B3="K18"</formula>
    </cfRule>
  </conditionalFormatting>
  <conditionalFormatting sqref="E12 I12 M12 Q12 U12 Y12">
    <cfRule type="expression" dxfId="418" priority="462">
      <formula>E12="K18PG"</formula>
    </cfRule>
    <cfRule type="expression" dxfId="417" priority="464">
      <formula>E12="K18"</formula>
    </cfRule>
    <cfRule type="expression" dxfId="416" priority="463">
      <formula>E12="K18WG"</formula>
    </cfRule>
    <cfRule type="expression" dxfId="415" priority="461">
      <formula>OR(E12="Pt900/K18",E12="Pt900/K18/K18WG")</formula>
    </cfRule>
  </conditionalFormatting>
  <conditionalFormatting sqref="E12">
    <cfRule type="expression" dxfId="414" priority="465">
      <formula>B17="K18"</formula>
    </cfRule>
  </conditionalFormatting>
  <conditionalFormatting sqref="E16">
    <cfRule type="expression" dxfId="413" priority="403">
      <formula>B16="K18"</formula>
    </cfRule>
  </conditionalFormatting>
  <conditionalFormatting sqref="E18">
    <cfRule type="expression" dxfId="412" priority="456">
      <formula>B18="K18"</formula>
    </cfRule>
  </conditionalFormatting>
  <conditionalFormatting sqref="E21 I21 M21 Q21 U21 Y21">
    <cfRule type="expression" dxfId="411" priority="370">
      <formula>E21="K18WG"</formula>
    </cfRule>
    <cfRule type="expression" dxfId="410" priority="369">
      <formula>E21="K18PG"</formula>
    </cfRule>
    <cfRule type="expression" dxfId="409" priority="368">
      <formula>OR(E21="Pt900/K18",E21="Pt900/K18/K18WG")</formula>
    </cfRule>
    <cfRule type="expression" dxfId="408" priority="371">
      <formula>E21="K18"</formula>
    </cfRule>
  </conditionalFormatting>
  <conditionalFormatting sqref="E21">
    <cfRule type="expression" dxfId="407" priority="372">
      <formula>B26="K18"</formula>
    </cfRule>
  </conditionalFormatting>
  <conditionalFormatting sqref="E25">
    <cfRule type="expression" dxfId="406" priority="310">
      <formula>B25="K18"</formula>
    </cfRule>
  </conditionalFormatting>
  <conditionalFormatting sqref="E27">
    <cfRule type="expression" dxfId="405" priority="363">
      <formula>B27="K18"</formula>
    </cfRule>
  </conditionalFormatting>
  <conditionalFormatting sqref="E30 I30 M30 Q30 U30 Y30">
    <cfRule type="expression" dxfId="404" priority="275">
      <formula>OR(E30="Pt900/K18",E30="Pt900/K18/K18WG")</formula>
    </cfRule>
    <cfRule type="expression" dxfId="403" priority="277">
      <formula>E30="K18WG"</formula>
    </cfRule>
    <cfRule type="expression" dxfId="402" priority="278">
      <formula>E30="K18"</formula>
    </cfRule>
    <cfRule type="expression" dxfId="401" priority="276">
      <formula>E30="K18PG"</formula>
    </cfRule>
  </conditionalFormatting>
  <conditionalFormatting sqref="E30">
    <cfRule type="expression" dxfId="400" priority="279">
      <formula>B35="K18"</formula>
    </cfRule>
  </conditionalFormatting>
  <conditionalFormatting sqref="E34">
    <cfRule type="expression" dxfId="399" priority="217">
      <formula>B34="K18"</formula>
    </cfRule>
  </conditionalFormatting>
  <conditionalFormatting sqref="E36">
    <cfRule type="expression" dxfId="398" priority="270">
      <formula>B36="K18"</formula>
    </cfRule>
  </conditionalFormatting>
  <conditionalFormatting sqref="E39 I39 M39 Q39 U39 Y39">
    <cfRule type="expression" dxfId="397" priority="182">
      <formula>OR(E39="Pt900/K18",E39="Pt900/K18/K18WG")</formula>
    </cfRule>
    <cfRule type="expression" dxfId="396" priority="183">
      <formula>E39="K18PG"</formula>
    </cfRule>
    <cfRule type="expression" dxfId="395" priority="184">
      <formula>E39="K18WG"</formula>
    </cfRule>
    <cfRule type="expression" dxfId="394" priority="185">
      <formula>E39="K18"</formula>
    </cfRule>
  </conditionalFormatting>
  <conditionalFormatting sqref="E39">
    <cfRule type="expression" dxfId="393" priority="186">
      <formula>B44="K18"</formula>
    </cfRule>
  </conditionalFormatting>
  <conditionalFormatting sqref="E43">
    <cfRule type="expression" dxfId="392" priority="124">
      <formula>B43="K18"</formula>
    </cfRule>
  </conditionalFormatting>
  <conditionalFormatting sqref="E45">
    <cfRule type="expression" dxfId="391" priority="177">
      <formula>B45="K18"</formula>
    </cfRule>
  </conditionalFormatting>
  <conditionalFormatting sqref="E48 I48 M48 Q48 U48 Y48">
    <cfRule type="expression" dxfId="390" priority="89">
      <formula>OR(E48="Pt900/K18",E48="Pt900/K18/K18WG")</formula>
    </cfRule>
    <cfRule type="expression" dxfId="389" priority="90">
      <formula>E48="K18PG"</formula>
    </cfRule>
    <cfRule type="expression" dxfId="388" priority="91">
      <formula>E48="K18WG"</formula>
    </cfRule>
    <cfRule type="expression" dxfId="387" priority="92">
      <formula>E48="K18"</formula>
    </cfRule>
  </conditionalFormatting>
  <conditionalFormatting sqref="E48">
    <cfRule type="expression" dxfId="386" priority="93">
      <formula>B53="K18"</formula>
    </cfRule>
  </conditionalFormatting>
  <conditionalFormatting sqref="E52">
    <cfRule type="expression" dxfId="385" priority="31">
      <formula>B52="K18"</formula>
    </cfRule>
  </conditionalFormatting>
  <conditionalFormatting sqref="E54">
    <cfRule type="expression" dxfId="384" priority="84">
      <formula>B54="K18"</formula>
    </cfRule>
  </conditionalFormatting>
  <conditionalFormatting sqref="F16:F17">
    <cfRule type="expression" dxfId="383" priority="436">
      <formula>F16="K18WG"</formula>
    </cfRule>
    <cfRule type="expression" dxfId="382" priority="437">
      <formula>F16="K18"</formula>
    </cfRule>
    <cfRule type="expression" dxfId="381" priority="435">
      <formula>F16="K18PG"</formula>
    </cfRule>
    <cfRule type="expression" dxfId="380" priority="434">
      <formula>OR(F16="Pt900/K18",F16="Pt900/K18/K18WG")</formula>
    </cfRule>
  </conditionalFormatting>
  <conditionalFormatting sqref="F25:F26">
    <cfRule type="expression" dxfId="379" priority="341">
      <formula>OR(F25="Pt900/K18",F25="Pt900/K18/K18WG")</formula>
    </cfRule>
    <cfRule type="expression" dxfId="378" priority="344">
      <formula>F25="K18"</formula>
    </cfRule>
    <cfRule type="expression" dxfId="377" priority="343">
      <formula>F25="K18WG"</formula>
    </cfRule>
    <cfRule type="expression" dxfId="376" priority="342">
      <formula>F25="K18PG"</formula>
    </cfRule>
  </conditionalFormatting>
  <conditionalFormatting sqref="F34:F35">
    <cfRule type="expression" dxfId="375" priority="250">
      <formula>F34="K18WG"</formula>
    </cfRule>
    <cfRule type="expression" dxfId="374" priority="251">
      <formula>F34="K18"</formula>
    </cfRule>
    <cfRule type="expression" dxfId="373" priority="249">
      <formula>F34="K18PG"</formula>
    </cfRule>
    <cfRule type="expression" dxfId="372" priority="248">
      <formula>OR(F34="Pt900/K18",F34="Pt900/K18/K18WG")</formula>
    </cfRule>
  </conditionalFormatting>
  <conditionalFormatting sqref="F43:F44">
    <cfRule type="expression" dxfId="371" priority="155">
      <formula>OR(F43="Pt900/K18",F43="Pt900/K18/K18WG")</formula>
    </cfRule>
    <cfRule type="expression" dxfId="370" priority="157">
      <formula>F43="K18WG"</formula>
    </cfRule>
    <cfRule type="expression" dxfId="369" priority="158">
      <formula>F43="K18"</formula>
    </cfRule>
    <cfRule type="expression" dxfId="368" priority="156">
      <formula>F43="K18PG"</formula>
    </cfRule>
  </conditionalFormatting>
  <conditionalFormatting sqref="F52:F53">
    <cfRule type="expression" dxfId="367" priority="62">
      <formula>OR(F52="Pt900/K18",F52="Pt900/K18/K18WG")</formula>
    </cfRule>
    <cfRule type="expression" dxfId="366" priority="63">
      <formula>F52="K18PG"</formula>
    </cfRule>
    <cfRule type="expression" dxfId="365" priority="64">
      <formula>F52="K18WG"</formula>
    </cfRule>
    <cfRule type="expression" dxfId="364" priority="65">
      <formula>F52="K18"</formula>
    </cfRule>
  </conditionalFormatting>
  <conditionalFormatting sqref="F7:H7 J7:L7 N7:P7 R7:T7 V7:X7 Z7:AB7 AD7:AF7">
    <cfRule type="expression" dxfId="363" priority="493">
      <formula>F7="K18WG"</formula>
    </cfRule>
    <cfRule type="expression" dxfId="362" priority="492">
      <formula>F7="K18PG"</formula>
    </cfRule>
    <cfRule type="expression" dxfId="361" priority="491">
      <formula>OR(F7="Pt900/K18",F7="Pt900/K18/K18WG")</formula>
    </cfRule>
    <cfRule type="expression" dxfId="360" priority="494">
      <formula>F7="K18"</formula>
    </cfRule>
  </conditionalFormatting>
  <conditionalFormatting sqref="F3:AG6 I7 M7 Q7 U7 Y7 AC7 AG7 F8:AG9">
    <cfRule type="expression" dxfId="359" priority="497">
      <formula>F3="K18PG"</formula>
    </cfRule>
    <cfRule type="expression" dxfId="358" priority="498">
      <formula>F3="K18WG"</formula>
    </cfRule>
    <cfRule type="expression" dxfId="357" priority="499">
      <formula>F3="K18"</formula>
    </cfRule>
    <cfRule type="expression" dxfId="356" priority="496">
      <formula>OR(F3="Pt900/K18",F3="Pt900/K18/K18WG")</formula>
    </cfRule>
  </conditionalFormatting>
  <conditionalFormatting sqref="G16:I16">
    <cfRule type="expression" dxfId="355" priority="399">
      <formula>OR(G16="Pt900/K18",G16="Pt900/K18/K18WG")</formula>
    </cfRule>
    <cfRule type="expression" dxfId="354" priority="402">
      <formula>G16="K18"</formula>
    </cfRule>
    <cfRule type="expression" dxfId="353" priority="401">
      <formula>G16="K18WG"</formula>
    </cfRule>
    <cfRule type="expression" dxfId="352" priority="400">
      <formula>G16="K18PG"</formula>
    </cfRule>
  </conditionalFormatting>
  <conditionalFormatting sqref="G25:I25">
    <cfRule type="expression" dxfId="351" priority="309">
      <formula>G25="K18"</formula>
    </cfRule>
    <cfRule type="expression" dxfId="350" priority="306">
      <formula>OR(G25="Pt900/K18",G25="Pt900/K18/K18WG")</formula>
    </cfRule>
    <cfRule type="expression" dxfId="349" priority="308">
      <formula>G25="K18WG"</formula>
    </cfRule>
    <cfRule type="expression" dxfId="348" priority="307">
      <formula>G25="K18PG"</formula>
    </cfRule>
  </conditionalFormatting>
  <conditionalFormatting sqref="G34:I34">
    <cfRule type="expression" dxfId="347" priority="216">
      <formula>G34="K18"</formula>
    </cfRule>
    <cfRule type="expression" dxfId="346" priority="213">
      <formula>OR(G34="Pt900/K18",G34="Pt900/K18/K18WG")</formula>
    </cfRule>
    <cfRule type="expression" dxfId="345" priority="214">
      <formula>G34="K18PG"</formula>
    </cfRule>
    <cfRule type="expression" dxfId="344" priority="215">
      <formula>G34="K18WG"</formula>
    </cfRule>
  </conditionalFormatting>
  <conditionalFormatting sqref="G43:I43">
    <cfRule type="expression" dxfId="343" priority="121">
      <formula>G43="K18PG"</formula>
    </cfRule>
    <cfRule type="expression" dxfId="342" priority="122">
      <formula>G43="K18WG"</formula>
    </cfRule>
    <cfRule type="expression" dxfId="341" priority="123">
      <formula>G43="K18"</formula>
    </cfRule>
    <cfRule type="expression" dxfId="340" priority="120">
      <formula>OR(G43="Pt900/K18",G43="Pt900/K18/K18WG")</formula>
    </cfRule>
  </conditionalFormatting>
  <conditionalFormatting sqref="G52:I52">
    <cfRule type="expression" dxfId="339" priority="29">
      <formula>G52="K18WG"</formula>
    </cfRule>
    <cfRule type="expression" dxfId="338" priority="30">
      <formula>G52="K18"</formula>
    </cfRule>
    <cfRule type="expression" dxfId="337" priority="27">
      <formula>OR(G52="Pt900/K18",G52="Pt900/K18/K18WG")</formula>
    </cfRule>
    <cfRule type="expression" dxfId="336" priority="28">
      <formula>G52="K18PG"</formula>
    </cfRule>
  </conditionalFormatting>
  <conditionalFormatting sqref="I3:I9 M3:M9 Q3:Q9 U3:U9 Y3:Y9 AC3:AC9 AG3:AG9">
    <cfRule type="expression" dxfId="335" priority="495">
      <formula>F3="K18"</formula>
    </cfRule>
  </conditionalFormatting>
  <conditionalFormatting sqref="I12">
    <cfRule type="expression" dxfId="334" priority="451">
      <formula>F17="K18"</formula>
    </cfRule>
  </conditionalFormatting>
  <conditionalFormatting sqref="I16">
    <cfRule type="expression" dxfId="333" priority="398">
      <formula>F16="K18"</formula>
    </cfRule>
  </conditionalFormatting>
  <conditionalFormatting sqref="I18">
    <cfRule type="expression" dxfId="332" priority="450">
      <formula>F18="K18"</formula>
    </cfRule>
  </conditionalFormatting>
  <conditionalFormatting sqref="I21">
    <cfRule type="expression" dxfId="331" priority="358">
      <formula>F26="K18"</formula>
    </cfRule>
  </conditionalFormatting>
  <conditionalFormatting sqref="I25">
    <cfRule type="expression" dxfId="330" priority="305">
      <formula>F25="K18"</formula>
    </cfRule>
  </conditionalFormatting>
  <conditionalFormatting sqref="I27">
    <cfRule type="expression" dxfId="329" priority="357">
      <formula>F27="K18"</formula>
    </cfRule>
  </conditionalFormatting>
  <conditionalFormatting sqref="I30">
    <cfRule type="expression" dxfId="328" priority="265">
      <formula>F35="K18"</formula>
    </cfRule>
  </conditionalFormatting>
  <conditionalFormatting sqref="I34">
    <cfRule type="expression" dxfId="327" priority="212">
      <formula>F34="K18"</formula>
    </cfRule>
  </conditionalFormatting>
  <conditionalFormatting sqref="I36">
    <cfRule type="expression" dxfId="326" priority="264">
      <formula>F36="K18"</formula>
    </cfRule>
  </conditionalFormatting>
  <conditionalFormatting sqref="I39">
    <cfRule type="expression" dxfId="325" priority="172">
      <formula>F44="K18"</formula>
    </cfRule>
  </conditionalFormatting>
  <conditionalFormatting sqref="I43">
    <cfRule type="expression" dxfId="324" priority="119">
      <formula>F43="K18"</formula>
    </cfRule>
  </conditionalFormatting>
  <conditionalFormatting sqref="I45">
    <cfRule type="expression" dxfId="323" priority="171">
      <formula>F45="K18"</formula>
    </cfRule>
  </conditionalFormatting>
  <conditionalFormatting sqref="I48">
    <cfRule type="expression" dxfId="322" priority="79">
      <formula>F53="K18"</formula>
    </cfRule>
  </conditionalFormatting>
  <conditionalFormatting sqref="I52">
    <cfRule type="expression" dxfId="321" priority="26">
      <formula>F52="K18"</formula>
    </cfRule>
  </conditionalFormatting>
  <conditionalFormatting sqref="I54">
    <cfRule type="expression" dxfId="320" priority="78">
      <formula>F54="K18"</formula>
    </cfRule>
  </conditionalFormatting>
  <conditionalFormatting sqref="J16:J17">
    <cfRule type="expression" dxfId="319" priority="430">
      <formula>OR(J16="Pt900/K18",J16="Pt900/K18/K18WG")</formula>
    </cfRule>
    <cfRule type="expression" dxfId="318" priority="432">
      <formula>J16="K18WG"</formula>
    </cfRule>
    <cfRule type="expression" dxfId="317" priority="431">
      <formula>J16="K18PG"</formula>
    </cfRule>
    <cfRule type="expression" dxfId="316" priority="433">
      <formula>J16="K18"</formula>
    </cfRule>
  </conditionalFormatting>
  <conditionalFormatting sqref="J25:J26">
    <cfRule type="expression" dxfId="315" priority="339">
      <formula>J25="K18WG"</formula>
    </cfRule>
    <cfRule type="expression" dxfId="314" priority="337">
      <formula>OR(J25="Pt900/K18",J25="Pt900/K18/K18WG")</formula>
    </cfRule>
    <cfRule type="expression" dxfId="313" priority="338">
      <formula>J25="K18PG"</formula>
    </cfRule>
    <cfRule type="expression" dxfId="312" priority="340">
      <formula>J25="K18"</formula>
    </cfRule>
  </conditionalFormatting>
  <conditionalFormatting sqref="J34:J35">
    <cfRule type="expression" dxfId="311" priority="244">
      <formula>OR(J34="Pt900/K18",J34="Pt900/K18/K18WG")</formula>
    </cfRule>
    <cfRule type="expression" dxfId="310" priority="245">
      <formula>J34="K18PG"</formula>
    </cfRule>
    <cfRule type="expression" dxfId="309" priority="246">
      <formula>J34="K18WG"</formula>
    </cfRule>
    <cfRule type="expression" dxfId="308" priority="247">
      <formula>J34="K18"</formula>
    </cfRule>
  </conditionalFormatting>
  <conditionalFormatting sqref="J43:J44">
    <cfRule type="expression" dxfId="307" priority="154">
      <formula>J43="K18"</formula>
    </cfRule>
    <cfRule type="expression" dxfId="306" priority="151">
      <formula>OR(J43="Pt900/K18",J43="Pt900/K18/K18WG")</formula>
    </cfRule>
    <cfRule type="expression" dxfId="305" priority="152">
      <formula>J43="K18PG"</formula>
    </cfRule>
    <cfRule type="expression" dxfId="304" priority="153">
      <formula>J43="K18WG"</formula>
    </cfRule>
  </conditionalFormatting>
  <conditionalFormatting sqref="J52:J53">
    <cfRule type="expression" dxfId="303" priority="60">
      <formula>J52="K18WG"</formula>
    </cfRule>
    <cfRule type="expression" dxfId="302" priority="61">
      <formula>J52="K18"</formula>
    </cfRule>
    <cfRule type="expression" dxfId="301" priority="58">
      <formula>OR(J52="Pt900/K18",J52="Pt900/K18/K18WG")</formula>
    </cfRule>
    <cfRule type="expression" dxfId="300" priority="59">
      <formula>J52="K18PG"</formula>
    </cfRule>
  </conditionalFormatting>
  <conditionalFormatting sqref="K16:M16">
    <cfRule type="expression" dxfId="299" priority="397">
      <formula>K16="K18"</formula>
    </cfRule>
    <cfRule type="expression" dxfId="298" priority="395">
      <formula>K16="K18PG"</formula>
    </cfRule>
    <cfRule type="expression" dxfId="297" priority="396">
      <formula>K16="K18WG"</formula>
    </cfRule>
    <cfRule type="expression" dxfId="296" priority="394">
      <formula>OR(K16="Pt900/K18",K16="Pt900/K18/K18WG")</formula>
    </cfRule>
  </conditionalFormatting>
  <conditionalFormatting sqref="K25:M25">
    <cfRule type="expression" dxfId="295" priority="303">
      <formula>K25="K18WG"</formula>
    </cfRule>
    <cfRule type="expression" dxfId="294" priority="301">
      <formula>OR(K25="Pt900/K18",K25="Pt900/K18/K18WG")</formula>
    </cfRule>
    <cfRule type="expression" dxfId="293" priority="304">
      <formula>K25="K18"</formula>
    </cfRule>
    <cfRule type="expression" dxfId="292" priority="302">
      <formula>K25="K18PG"</formula>
    </cfRule>
  </conditionalFormatting>
  <conditionalFormatting sqref="K34:M34">
    <cfRule type="expression" dxfId="291" priority="209">
      <formula>K34="K18PG"</formula>
    </cfRule>
    <cfRule type="expression" dxfId="290" priority="210">
      <formula>K34="K18WG"</formula>
    </cfRule>
    <cfRule type="expression" dxfId="289" priority="211">
      <formula>K34="K18"</formula>
    </cfRule>
    <cfRule type="expression" dxfId="288" priority="208">
      <formula>OR(K34="Pt900/K18",K34="Pt900/K18/K18WG")</formula>
    </cfRule>
  </conditionalFormatting>
  <conditionalFormatting sqref="K43:M43">
    <cfRule type="expression" dxfId="287" priority="118">
      <formula>K43="K18"</formula>
    </cfRule>
    <cfRule type="expression" dxfId="286" priority="117">
      <formula>K43="K18WG"</formula>
    </cfRule>
    <cfRule type="expression" dxfId="285" priority="116">
      <formula>K43="K18PG"</formula>
    </cfRule>
    <cfRule type="expression" dxfId="284" priority="115">
      <formula>OR(K43="Pt900/K18",K43="Pt900/K18/K18WG")</formula>
    </cfRule>
  </conditionalFormatting>
  <conditionalFormatting sqref="K52:M52">
    <cfRule type="expression" dxfId="283" priority="25">
      <formula>K52="K18"</formula>
    </cfRule>
    <cfRule type="expression" dxfId="282" priority="23">
      <formula>K52="K18PG"</formula>
    </cfRule>
    <cfRule type="expression" dxfId="281" priority="22">
      <formula>OR(K52="Pt900/K18",K52="Pt900/K18/K18WG")</formula>
    </cfRule>
    <cfRule type="expression" dxfId="280" priority="24">
      <formula>K52="K18WG"</formula>
    </cfRule>
  </conditionalFormatting>
  <conditionalFormatting sqref="M12">
    <cfRule type="expression" dxfId="279" priority="449">
      <formula>J17="K18"</formula>
    </cfRule>
  </conditionalFormatting>
  <conditionalFormatting sqref="M16">
    <cfRule type="expression" dxfId="278" priority="393">
      <formula>J16="K18"</formula>
    </cfRule>
  </conditionalFormatting>
  <conditionalFormatting sqref="M18">
    <cfRule type="expression" dxfId="277" priority="448">
      <formula>J18="K18"</formula>
    </cfRule>
  </conditionalFormatting>
  <conditionalFormatting sqref="M21">
    <cfRule type="expression" dxfId="276" priority="356">
      <formula>J26="K18"</formula>
    </cfRule>
  </conditionalFormatting>
  <conditionalFormatting sqref="M25">
    <cfRule type="expression" dxfId="275" priority="300">
      <formula>J25="K18"</formula>
    </cfRule>
  </conditionalFormatting>
  <conditionalFormatting sqref="M27">
    <cfRule type="expression" dxfId="274" priority="355">
      <formula>J27="K18"</formula>
    </cfRule>
  </conditionalFormatting>
  <conditionalFormatting sqref="M30">
    <cfRule type="expression" dxfId="273" priority="263">
      <formula>J35="K18"</formula>
    </cfRule>
  </conditionalFormatting>
  <conditionalFormatting sqref="M34">
    <cfRule type="expression" dxfId="272" priority="207">
      <formula>J34="K18"</formula>
    </cfRule>
  </conditionalFormatting>
  <conditionalFormatting sqref="M36">
    <cfRule type="expression" dxfId="271" priority="262">
      <formula>J36="K18"</formula>
    </cfRule>
  </conditionalFormatting>
  <conditionalFormatting sqref="M39">
    <cfRule type="expression" dxfId="270" priority="170">
      <formula>J44="K18"</formula>
    </cfRule>
  </conditionalFormatting>
  <conditionalFormatting sqref="M43">
    <cfRule type="expression" dxfId="269" priority="114">
      <formula>J43="K18"</formula>
    </cfRule>
  </conditionalFormatting>
  <conditionalFormatting sqref="M45">
    <cfRule type="expression" dxfId="268" priority="169">
      <formula>J45="K18"</formula>
    </cfRule>
  </conditionalFormatting>
  <conditionalFormatting sqref="M48">
    <cfRule type="expression" dxfId="267" priority="77">
      <formula>J53="K18"</formula>
    </cfRule>
  </conditionalFormatting>
  <conditionalFormatting sqref="M52">
    <cfRule type="expression" dxfId="266" priority="21">
      <formula>J52="K18"</formula>
    </cfRule>
  </conditionalFormatting>
  <conditionalFormatting sqref="M54">
    <cfRule type="expression" dxfId="265" priority="76">
      <formula>J54="K18"</formula>
    </cfRule>
  </conditionalFormatting>
  <conditionalFormatting sqref="N16:N17">
    <cfRule type="expression" dxfId="264" priority="426">
      <formula>OR(N16="Pt900/K18",N16="Pt900/K18/K18WG")</formula>
    </cfRule>
    <cfRule type="expression" dxfId="263" priority="428">
      <formula>N16="K18WG"</formula>
    </cfRule>
    <cfRule type="expression" dxfId="262" priority="429">
      <formula>N16="K18"</formula>
    </cfRule>
    <cfRule type="expression" dxfId="261" priority="427">
      <formula>N16="K18PG"</formula>
    </cfRule>
  </conditionalFormatting>
  <conditionalFormatting sqref="N25:N26">
    <cfRule type="expression" dxfId="260" priority="333">
      <formula>OR(N25="Pt900/K18",N25="Pt900/K18/K18WG")</formula>
    </cfRule>
    <cfRule type="expression" dxfId="259" priority="334">
      <formula>N25="K18PG"</formula>
    </cfRule>
    <cfRule type="expression" dxfId="258" priority="336">
      <formula>N25="K18"</formula>
    </cfRule>
    <cfRule type="expression" dxfId="257" priority="335">
      <formula>N25="K18WG"</formula>
    </cfRule>
  </conditionalFormatting>
  <conditionalFormatting sqref="N34:N35">
    <cfRule type="expression" dxfId="256" priority="243">
      <formula>N34="K18"</formula>
    </cfRule>
    <cfRule type="expression" dxfId="255" priority="242">
      <formula>N34="K18WG"</formula>
    </cfRule>
    <cfRule type="expression" dxfId="254" priority="240">
      <formula>OR(N34="Pt900/K18",N34="Pt900/K18/K18WG")</formula>
    </cfRule>
    <cfRule type="expression" dxfId="253" priority="241">
      <formula>N34="K18PG"</formula>
    </cfRule>
  </conditionalFormatting>
  <conditionalFormatting sqref="N43:N44">
    <cfRule type="expression" dxfId="252" priority="149">
      <formula>N43="K18WG"</formula>
    </cfRule>
    <cfRule type="expression" dxfId="251" priority="148">
      <formula>N43="K18PG"</formula>
    </cfRule>
    <cfRule type="expression" dxfId="250" priority="147">
      <formula>OR(N43="Pt900/K18",N43="Pt900/K18/K18WG")</formula>
    </cfRule>
    <cfRule type="expression" dxfId="249" priority="150">
      <formula>N43="K18"</formula>
    </cfRule>
  </conditionalFormatting>
  <conditionalFormatting sqref="N52:N53">
    <cfRule type="expression" dxfId="248" priority="54">
      <formula>OR(N52="Pt900/K18",N52="Pt900/K18/K18WG")</formula>
    </cfRule>
    <cfRule type="expression" dxfId="247" priority="56">
      <formula>N52="K18WG"</formula>
    </cfRule>
    <cfRule type="expression" dxfId="246" priority="57">
      <formula>N52="K18"</formula>
    </cfRule>
    <cfRule type="expression" dxfId="245" priority="55">
      <formula>N52="K18PG"</formula>
    </cfRule>
  </conditionalFormatting>
  <conditionalFormatting sqref="O16:Q16">
    <cfRule type="expression" dxfId="244" priority="389">
      <formula>OR(O16="Pt900/K18",O16="Pt900/K18/K18WG")</formula>
    </cfRule>
    <cfRule type="expression" dxfId="243" priority="390">
      <formula>O16="K18PG"</formula>
    </cfRule>
    <cfRule type="expression" dxfId="242" priority="392">
      <formula>O16="K18"</formula>
    </cfRule>
    <cfRule type="expression" dxfId="241" priority="391">
      <formula>O16="K18WG"</formula>
    </cfRule>
  </conditionalFormatting>
  <conditionalFormatting sqref="O25:Q25">
    <cfRule type="expression" dxfId="240" priority="296">
      <formula>OR(O25="Pt900/K18",O25="Pt900/K18/K18WG")</formula>
    </cfRule>
    <cfRule type="expression" dxfId="239" priority="297">
      <formula>O25="K18PG"</formula>
    </cfRule>
    <cfRule type="expression" dxfId="238" priority="298">
      <formula>O25="K18WG"</formula>
    </cfRule>
    <cfRule type="expression" dxfId="237" priority="299">
      <formula>O25="K18"</formula>
    </cfRule>
  </conditionalFormatting>
  <conditionalFormatting sqref="O34:Q34">
    <cfRule type="expression" dxfId="236" priority="203">
      <formula>OR(O34="Pt900/K18",O34="Pt900/K18/K18WG")</formula>
    </cfRule>
    <cfRule type="expression" dxfId="235" priority="204">
      <formula>O34="K18PG"</formula>
    </cfRule>
    <cfRule type="expression" dxfId="234" priority="206">
      <formula>O34="K18"</formula>
    </cfRule>
    <cfRule type="expression" dxfId="233" priority="205">
      <formula>O34="K18WG"</formula>
    </cfRule>
  </conditionalFormatting>
  <conditionalFormatting sqref="O43:Q43">
    <cfRule type="expression" dxfId="232" priority="111">
      <formula>O43="K18PG"</formula>
    </cfRule>
    <cfRule type="expression" dxfId="231" priority="110">
      <formula>OR(O43="Pt900/K18",O43="Pt900/K18/K18WG")</formula>
    </cfRule>
    <cfRule type="expression" dxfId="230" priority="112">
      <formula>O43="K18WG"</formula>
    </cfRule>
    <cfRule type="expression" dxfId="229" priority="113">
      <formula>O43="K18"</formula>
    </cfRule>
  </conditionalFormatting>
  <conditionalFormatting sqref="O52:Q52">
    <cfRule type="expression" dxfId="228" priority="19">
      <formula>O52="K18WG"</formula>
    </cfRule>
    <cfRule type="expression" dxfId="227" priority="18">
      <formula>O52="K18PG"</formula>
    </cfRule>
    <cfRule type="expression" dxfId="226" priority="20">
      <formula>O52="K18"</formula>
    </cfRule>
    <cfRule type="expression" dxfId="225" priority="17">
      <formula>OR(O52="Pt900/K18",O52="Pt900/K18/K18WG")</formula>
    </cfRule>
  </conditionalFormatting>
  <conditionalFormatting sqref="Q12">
    <cfRule type="expression" dxfId="224" priority="447">
      <formula>N17="K18"</formula>
    </cfRule>
  </conditionalFormatting>
  <conditionalFormatting sqref="Q16">
    <cfRule type="expression" dxfId="223" priority="388">
      <formula>N16="K18"</formula>
    </cfRule>
  </conditionalFormatting>
  <conditionalFormatting sqref="Q18">
    <cfRule type="expression" dxfId="222" priority="446">
      <formula>N18="K18"</formula>
    </cfRule>
  </conditionalFormatting>
  <conditionalFormatting sqref="Q21">
    <cfRule type="expression" dxfId="221" priority="354">
      <formula>N26="K18"</formula>
    </cfRule>
  </conditionalFormatting>
  <conditionalFormatting sqref="Q25">
    <cfRule type="expression" dxfId="220" priority="295">
      <formula>N25="K18"</formula>
    </cfRule>
  </conditionalFormatting>
  <conditionalFormatting sqref="Q27">
    <cfRule type="expression" dxfId="219" priority="353">
      <formula>N27="K18"</formula>
    </cfRule>
  </conditionalFormatting>
  <conditionalFormatting sqref="Q30">
    <cfRule type="expression" dxfId="218" priority="261">
      <formula>N35="K18"</formula>
    </cfRule>
  </conditionalFormatting>
  <conditionalFormatting sqref="Q34">
    <cfRule type="expression" dxfId="217" priority="202">
      <formula>N34="K18"</formula>
    </cfRule>
  </conditionalFormatting>
  <conditionalFormatting sqref="Q36">
    <cfRule type="expression" dxfId="216" priority="260">
      <formula>N36="K18"</formula>
    </cfRule>
  </conditionalFormatting>
  <conditionalFormatting sqref="Q39">
    <cfRule type="expression" dxfId="215" priority="168">
      <formula>N44="K18"</formula>
    </cfRule>
  </conditionalFormatting>
  <conditionalFormatting sqref="Q43">
    <cfRule type="expression" dxfId="214" priority="109">
      <formula>N43="K18"</formula>
    </cfRule>
  </conditionalFormatting>
  <conditionalFormatting sqref="Q45">
    <cfRule type="expression" dxfId="213" priority="167">
      <formula>N45="K18"</formula>
    </cfRule>
  </conditionalFormatting>
  <conditionalFormatting sqref="Q48">
    <cfRule type="expression" dxfId="212" priority="75">
      <formula>N53="K18"</formula>
    </cfRule>
  </conditionalFormatting>
  <conditionalFormatting sqref="Q52">
    <cfRule type="expression" dxfId="211" priority="16">
      <formula>N52="K18"</formula>
    </cfRule>
  </conditionalFormatting>
  <conditionalFormatting sqref="Q54">
    <cfRule type="expression" dxfId="210" priority="74">
      <formula>N54="K18"</formula>
    </cfRule>
  </conditionalFormatting>
  <conditionalFormatting sqref="R16:R17">
    <cfRule type="expression" dxfId="209" priority="422">
      <formula>OR(R16="Pt900/K18",R16="Pt900/K18/K18WG")</formula>
    </cfRule>
    <cfRule type="expression" dxfId="208" priority="425">
      <formula>R16="K18"</formula>
    </cfRule>
    <cfRule type="expression" dxfId="207" priority="424">
      <formula>R16="K18WG"</formula>
    </cfRule>
    <cfRule type="expression" dxfId="206" priority="423">
      <formula>R16="K18PG"</formula>
    </cfRule>
  </conditionalFormatting>
  <conditionalFormatting sqref="R25:R26">
    <cfRule type="expression" dxfId="205" priority="332">
      <formula>R25="K18"</formula>
    </cfRule>
    <cfRule type="expression" dxfId="204" priority="330">
      <formula>R25="K18PG"</formula>
    </cfRule>
    <cfRule type="expression" dxfId="203" priority="329">
      <formula>OR(R25="Pt900/K18",R25="Pt900/K18/K18WG")</formula>
    </cfRule>
    <cfRule type="expression" dxfId="202" priority="331">
      <formula>R25="K18WG"</formula>
    </cfRule>
  </conditionalFormatting>
  <conditionalFormatting sqref="R34:R35">
    <cfRule type="expression" dxfId="201" priority="236">
      <formula>OR(R34="Pt900/K18",R34="Pt900/K18/K18WG")</formula>
    </cfRule>
    <cfRule type="expression" dxfId="200" priority="237">
      <formula>R34="K18PG"</formula>
    </cfRule>
    <cfRule type="expression" dxfId="199" priority="238">
      <formula>R34="K18WG"</formula>
    </cfRule>
    <cfRule type="expression" dxfId="198" priority="239">
      <formula>R34="K18"</formula>
    </cfRule>
  </conditionalFormatting>
  <conditionalFormatting sqref="R43:R44">
    <cfRule type="expression" dxfId="197" priority="143">
      <formula>OR(R43="Pt900/K18",R43="Pt900/K18/K18WG")</formula>
    </cfRule>
    <cfRule type="expression" dxfId="196" priority="144">
      <formula>R43="K18PG"</formula>
    </cfRule>
    <cfRule type="expression" dxfId="195" priority="146">
      <formula>R43="K18"</formula>
    </cfRule>
    <cfRule type="expression" dxfId="194" priority="145">
      <formula>R43="K18WG"</formula>
    </cfRule>
  </conditionalFormatting>
  <conditionalFormatting sqref="R52:R53">
    <cfRule type="expression" dxfId="193" priority="53">
      <formula>R52="K18"</formula>
    </cfRule>
    <cfRule type="expression" dxfId="192" priority="52">
      <formula>R52="K18WG"</formula>
    </cfRule>
    <cfRule type="expression" dxfId="191" priority="51">
      <formula>R52="K18PG"</formula>
    </cfRule>
    <cfRule type="expression" dxfId="190" priority="50">
      <formula>OR(R52="Pt900/K18",R52="Pt900/K18/K18WG")</formula>
    </cfRule>
  </conditionalFormatting>
  <conditionalFormatting sqref="S16:U16">
    <cfRule type="expression" dxfId="189" priority="387">
      <formula>S16="K18"</formula>
    </cfRule>
    <cfRule type="expression" dxfId="188" priority="386">
      <formula>S16="K18WG"</formula>
    </cfRule>
    <cfRule type="expression" dxfId="187" priority="385">
      <formula>S16="K18PG"</formula>
    </cfRule>
    <cfRule type="expression" dxfId="186" priority="384">
      <formula>OR(S16="Pt900/K18",S16="Pt900/K18/K18WG")</formula>
    </cfRule>
  </conditionalFormatting>
  <conditionalFormatting sqref="S25:U25">
    <cfRule type="expression" dxfId="185" priority="293">
      <formula>S25="K18WG"</formula>
    </cfRule>
    <cfRule type="expression" dxfId="184" priority="294">
      <formula>S25="K18"</formula>
    </cfRule>
    <cfRule type="expression" dxfId="183" priority="291">
      <formula>OR(S25="Pt900/K18",S25="Pt900/K18/K18WG")</formula>
    </cfRule>
    <cfRule type="expression" dxfId="182" priority="292">
      <formula>S25="K18PG"</formula>
    </cfRule>
  </conditionalFormatting>
  <conditionalFormatting sqref="S34:U34">
    <cfRule type="expression" dxfId="181" priority="200">
      <formula>S34="K18WG"</formula>
    </cfRule>
    <cfRule type="expression" dxfId="180" priority="201">
      <formula>S34="K18"</formula>
    </cfRule>
    <cfRule type="expression" dxfId="179" priority="199">
      <formula>S34="K18PG"</formula>
    </cfRule>
    <cfRule type="expression" dxfId="178" priority="198">
      <formula>OR(S34="Pt900/K18",S34="Pt900/K18/K18WG")</formula>
    </cfRule>
  </conditionalFormatting>
  <conditionalFormatting sqref="S43:U43">
    <cfRule type="expression" dxfId="177" priority="105">
      <formula>OR(S43="Pt900/K18",S43="Pt900/K18/K18WG")</formula>
    </cfRule>
    <cfRule type="expression" dxfId="176" priority="108">
      <formula>S43="K18"</formula>
    </cfRule>
    <cfRule type="expression" dxfId="175" priority="107">
      <formula>S43="K18WG"</formula>
    </cfRule>
    <cfRule type="expression" dxfId="174" priority="106">
      <formula>S43="K18PG"</formula>
    </cfRule>
  </conditionalFormatting>
  <conditionalFormatting sqref="S52:U52">
    <cfRule type="expression" dxfId="173" priority="12">
      <formula>OR(S52="Pt900/K18",S52="Pt900/K18/K18WG")</formula>
    </cfRule>
    <cfRule type="expression" dxfId="172" priority="13">
      <formula>S52="K18PG"</formula>
    </cfRule>
    <cfRule type="expression" dxfId="171" priority="15">
      <formula>S52="K18"</formula>
    </cfRule>
    <cfRule type="expression" dxfId="170" priority="14">
      <formula>S52="K18WG"</formula>
    </cfRule>
  </conditionalFormatting>
  <conditionalFormatting sqref="U12">
    <cfRule type="expression" dxfId="169" priority="445">
      <formula>R17="K18"</formula>
    </cfRule>
  </conditionalFormatting>
  <conditionalFormatting sqref="U16">
    <cfRule type="expression" dxfId="168" priority="383">
      <formula>R16="K18"</formula>
    </cfRule>
  </conditionalFormatting>
  <conditionalFormatting sqref="U18">
    <cfRule type="expression" dxfId="167" priority="444">
      <formula>R18="K18"</formula>
    </cfRule>
  </conditionalFormatting>
  <conditionalFormatting sqref="U21">
    <cfRule type="expression" dxfId="166" priority="352">
      <formula>R26="K18"</formula>
    </cfRule>
  </conditionalFormatting>
  <conditionalFormatting sqref="U25">
    <cfRule type="expression" dxfId="165" priority="290">
      <formula>R25="K18"</formula>
    </cfRule>
  </conditionalFormatting>
  <conditionalFormatting sqref="U27">
    <cfRule type="expression" dxfId="164" priority="351">
      <formula>R27="K18"</formula>
    </cfRule>
  </conditionalFormatting>
  <conditionalFormatting sqref="U30">
    <cfRule type="expression" dxfId="163" priority="259">
      <formula>R35="K18"</formula>
    </cfRule>
  </conditionalFormatting>
  <conditionalFormatting sqref="U34">
    <cfRule type="expression" dxfId="162" priority="197">
      <formula>R34="K18"</formula>
    </cfRule>
  </conditionalFormatting>
  <conditionalFormatting sqref="U36">
    <cfRule type="expression" dxfId="161" priority="258">
      <formula>R36="K18"</formula>
    </cfRule>
  </conditionalFormatting>
  <conditionalFormatting sqref="U39">
    <cfRule type="expression" dxfId="160" priority="166">
      <formula>R44="K18"</formula>
    </cfRule>
  </conditionalFormatting>
  <conditionalFormatting sqref="U43">
    <cfRule type="expression" dxfId="159" priority="104">
      <formula>R43="K18"</formula>
    </cfRule>
  </conditionalFormatting>
  <conditionalFormatting sqref="U45">
    <cfRule type="expression" dxfId="158" priority="165">
      <formula>R45="K18"</formula>
    </cfRule>
  </conditionalFormatting>
  <conditionalFormatting sqref="U48">
    <cfRule type="expression" dxfId="157" priority="73">
      <formula>R53="K18"</formula>
    </cfRule>
  </conditionalFormatting>
  <conditionalFormatting sqref="U52">
    <cfRule type="expression" dxfId="156" priority="11">
      <formula>R52="K18"</formula>
    </cfRule>
  </conditionalFormatting>
  <conditionalFormatting sqref="U54">
    <cfRule type="expression" dxfId="155" priority="72">
      <formula>R54="K18"</formula>
    </cfRule>
  </conditionalFormatting>
  <conditionalFormatting sqref="V16:V17">
    <cfRule type="expression" dxfId="154" priority="418">
      <formula>OR(V16="Pt900/K18",V16="Pt900/K18/K18WG")</formula>
    </cfRule>
    <cfRule type="expression" dxfId="153" priority="419">
      <formula>V16="K18PG"</formula>
    </cfRule>
    <cfRule type="expression" dxfId="152" priority="420">
      <formula>V16="K18WG"</formula>
    </cfRule>
    <cfRule type="expression" dxfId="151" priority="421">
      <formula>V16="K18"</formula>
    </cfRule>
  </conditionalFormatting>
  <conditionalFormatting sqref="V25:V26">
    <cfRule type="expression" dxfId="150" priority="325">
      <formula>OR(V25="Pt900/K18",V25="Pt900/K18/K18WG")</formula>
    </cfRule>
    <cfRule type="expression" dxfId="149" priority="327">
      <formula>V25="K18WG"</formula>
    </cfRule>
    <cfRule type="expression" dxfId="148" priority="326">
      <formula>V25="K18PG"</formula>
    </cfRule>
    <cfRule type="expression" dxfId="147" priority="328">
      <formula>V25="K18"</formula>
    </cfRule>
  </conditionalFormatting>
  <conditionalFormatting sqref="V34:V35">
    <cfRule type="expression" dxfId="146" priority="232">
      <formula>OR(V34="Pt900/K18",V34="Pt900/K18/K18WG")</formula>
    </cfRule>
    <cfRule type="expression" dxfId="145" priority="233">
      <formula>V34="K18PG"</formula>
    </cfRule>
    <cfRule type="expression" dxfId="144" priority="234">
      <formula>V34="K18WG"</formula>
    </cfRule>
    <cfRule type="expression" dxfId="143" priority="235">
      <formula>V34="K18"</formula>
    </cfRule>
  </conditionalFormatting>
  <conditionalFormatting sqref="V43:V44">
    <cfRule type="expression" dxfId="142" priority="139">
      <formula>OR(V43="Pt900/K18",V43="Pt900/K18/K18WG")</formula>
    </cfRule>
    <cfRule type="expression" dxfId="141" priority="140">
      <formula>V43="K18PG"</formula>
    </cfRule>
    <cfRule type="expression" dxfId="140" priority="141">
      <formula>V43="K18WG"</formula>
    </cfRule>
    <cfRule type="expression" dxfId="139" priority="142">
      <formula>V43="K18"</formula>
    </cfRule>
  </conditionalFormatting>
  <conditionalFormatting sqref="V52:V53">
    <cfRule type="expression" dxfId="138" priority="49">
      <formula>V52="K18"</formula>
    </cfRule>
    <cfRule type="expression" dxfId="137" priority="48">
      <formula>V52="K18WG"</formula>
    </cfRule>
    <cfRule type="expression" dxfId="136" priority="47">
      <formula>V52="K18PG"</formula>
    </cfRule>
    <cfRule type="expression" dxfId="135" priority="46">
      <formula>OR(V52="Pt900/K18",V52="Pt900/K18/K18WG")</formula>
    </cfRule>
  </conditionalFormatting>
  <conditionalFormatting sqref="W16:Y16">
    <cfRule type="expression" dxfId="134" priority="380">
      <formula>W16="K18PG"</formula>
    </cfRule>
    <cfRule type="expression" dxfId="133" priority="379">
      <formula>OR(W16="Pt900/K18",W16="Pt900/K18/K18WG")</formula>
    </cfRule>
    <cfRule type="expression" dxfId="132" priority="382">
      <formula>W16="K18"</formula>
    </cfRule>
    <cfRule type="expression" dxfId="131" priority="381">
      <formula>W16="K18WG"</formula>
    </cfRule>
  </conditionalFormatting>
  <conditionalFormatting sqref="W25:Y25">
    <cfRule type="expression" dxfId="130" priority="289">
      <formula>W25="K18"</formula>
    </cfRule>
    <cfRule type="expression" dxfId="129" priority="288">
      <formula>W25="K18WG"</formula>
    </cfRule>
    <cfRule type="expression" dxfId="128" priority="287">
      <formula>W25="K18PG"</formula>
    </cfRule>
    <cfRule type="expression" dxfId="127" priority="286">
      <formula>OR(W25="Pt900/K18",W25="Pt900/K18/K18WG")</formula>
    </cfRule>
  </conditionalFormatting>
  <conditionalFormatting sqref="W34:Y34">
    <cfRule type="expression" dxfId="126" priority="196">
      <formula>W34="K18"</formula>
    </cfRule>
    <cfRule type="expression" dxfId="125" priority="193">
      <formula>OR(W34="Pt900/K18",W34="Pt900/K18/K18WG")</formula>
    </cfRule>
    <cfRule type="expression" dxfId="124" priority="194">
      <formula>W34="K18PG"</formula>
    </cfRule>
    <cfRule type="expression" dxfId="123" priority="195">
      <formula>W34="K18WG"</formula>
    </cfRule>
  </conditionalFormatting>
  <conditionalFormatting sqref="W43:Y43">
    <cfRule type="expression" dxfId="122" priority="100">
      <formula>OR(W43="Pt900/K18",W43="Pt900/K18/K18WG")</formula>
    </cfRule>
    <cfRule type="expression" dxfId="121" priority="101">
      <formula>W43="K18PG"</formula>
    </cfRule>
    <cfRule type="expression" dxfId="120" priority="102">
      <formula>W43="K18WG"</formula>
    </cfRule>
    <cfRule type="expression" dxfId="119" priority="103">
      <formula>W43="K18"</formula>
    </cfRule>
  </conditionalFormatting>
  <conditionalFormatting sqref="W52:Y52">
    <cfRule type="expression" dxfId="118" priority="9">
      <formula>W52="K18WG"</formula>
    </cfRule>
    <cfRule type="expression" dxfId="117" priority="7">
      <formula>OR(W52="Pt900/K18",W52="Pt900/K18/K18WG")</formula>
    </cfRule>
    <cfRule type="expression" dxfId="116" priority="8">
      <formula>W52="K18PG"</formula>
    </cfRule>
    <cfRule type="expression" dxfId="115" priority="10">
      <formula>W52="K18"</formula>
    </cfRule>
  </conditionalFormatting>
  <conditionalFormatting sqref="Y12">
    <cfRule type="expression" dxfId="114" priority="443">
      <formula>V17="K18"</formula>
    </cfRule>
  </conditionalFormatting>
  <conditionalFormatting sqref="Y16">
    <cfRule type="expression" dxfId="113" priority="378">
      <formula>V16="K18"</formula>
    </cfRule>
  </conditionalFormatting>
  <conditionalFormatting sqref="Y18">
    <cfRule type="expression" dxfId="112" priority="442">
      <formula>V18="K18"</formula>
    </cfRule>
  </conditionalFormatting>
  <conditionalFormatting sqref="Y21">
    <cfRule type="expression" dxfId="111" priority="350">
      <formula>V26="K18"</formula>
    </cfRule>
  </conditionalFormatting>
  <conditionalFormatting sqref="Y25">
    <cfRule type="expression" dxfId="110" priority="285">
      <formula>V25="K18"</formula>
    </cfRule>
  </conditionalFormatting>
  <conditionalFormatting sqref="Y27">
    <cfRule type="expression" dxfId="109" priority="349">
      <formula>V27="K18"</formula>
    </cfRule>
  </conditionalFormatting>
  <conditionalFormatting sqref="Y30">
    <cfRule type="expression" dxfId="108" priority="257">
      <formula>V35="K18"</formula>
    </cfRule>
  </conditionalFormatting>
  <conditionalFormatting sqref="Y34">
    <cfRule type="expression" dxfId="107" priority="192">
      <formula>V34="K18"</formula>
    </cfRule>
  </conditionalFormatting>
  <conditionalFormatting sqref="Y36">
    <cfRule type="expression" dxfId="106" priority="256">
      <formula>V36="K18"</formula>
    </cfRule>
  </conditionalFormatting>
  <conditionalFormatting sqref="Y39">
    <cfRule type="expression" dxfId="105" priority="164">
      <formula>V44="K18"</formula>
    </cfRule>
  </conditionalFormatting>
  <conditionalFormatting sqref="Y43">
    <cfRule type="expression" dxfId="104" priority="99">
      <formula>V43="K18"</formula>
    </cfRule>
  </conditionalFormatting>
  <conditionalFormatting sqref="Y45">
    <cfRule type="expression" dxfId="103" priority="163">
      <formula>V45="K18"</formula>
    </cfRule>
  </conditionalFormatting>
  <conditionalFormatting sqref="Y48">
    <cfRule type="expression" dxfId="102" priority="71">
      <formula>V53="K18"</formula>
    </cfRule>
  </conditionalFormatting>
  <conditionalFormatting sqref="Y52">
    <cfRule type="expression" dxfId="101" priority="6">
      <formula>V52="K18"</formula>
    </cfRule>
  </conditionalFormatting>
  <conditionalFormatting sqref="Y54">
    <cfRule type="expression" dxfId="100" priority="70">
      <formula>V54="K18"</formula>
    </cfRule>
  </conditionalFormatting>
  <conditionalFormatting sqref="Z16:Z17">
    <cfRule type="expression" dxfId="99" priority="411">
      <formula>Z16="K18"</formula>
    </cfRule>
    <cfRule type="expression" dxfId="98" priority="410">
      <formula>Z16="K18WG"</formula>
    </cfRule>
    <cfRule type="expression" dxfId="97" priority="409">
      <formula>Z16="K18PG"</formula>
    </cfRule>
    <cfRule type="expression" dxfId="96" priority="408">
      <formula>OR(Z16="Pt900/K18",Z16="Pt900/K18/K18WG")</formula>
    </cfRule>
  </conditionalFormatting>
  <conditionalFormatting sqref="Z25:Z26">
    <cfRule type="expression" dxfId="95" priority="318">
      <formula>Z25="K18"</formula>
    </cfRule>
    <cfRule type="expression" dxfId="94" priority="317">
      <formula>Z25="K18WG"</formula>
    </cfRule>
    <cfRule type="expression" dxfId="93" priority="316">
      <formula>Z25="K18PG"</formula>
    </cfRule>
    <cfRule type="expression" dxfId="92" priority="315">
      <formula>OR(Z25="Pt900/K18",Z25="Pt900/K18/K18WG")</formula>
    </cfRule>
  </conditionalFormatting>
  <conditionalFormatting sqref="Z34:Z35">
    <cfRule type="expression" dxfId="91" priority="225">
      <formula>Z34="K18"</formula>
    </cfRule>
    <cfRule type="expression" dxfId="90" priority="223">
      <formula>Z34="K18PG"</formula>
    </cfRule>
    <cfRule type="expression" dxfId="89" priority="222">
      <formula>OR(Z34="Pt900/K18",Z34="Pt900/K18/K18WG")</formula>
    </cfRule>
    <cfRule type="expression" dxfId="88" priority="224">
      <formula>Z34="K18WG"</formula>
    </cfRule>
  </conditionalFormatting>
  <conditionalFormatting sqref="Z43:Z44">
    <cfRule type="expression" dxfId="87" priority="131">
      <formula>Z43="K18WG"</formula>
    </cfRule>
    <cfRule type="expression" dxfId="86" priority="130">
      <formula>Z43="K18PG"</formula>
    </cfRule>
    <cfRule type="expression" dxfId="85" priority="129">
      <formula>OR(Z43="Pt900/K18",Z43="Pt900/K18/K18WG")</formula>
    </cfRule>
    <cfRule type="expression" dxfId="84" priority="132">
      <formula>Z43="K18"</formula>
    </cfRule>
  </conditionalFormatting>
  <conditionalFormatting sqref="Z52:Z53">
    <cfRule type="expression" dxfId="83" priority="38">
      <formula>Z52="K18WG"</formula>
    </cfRule>
    <cfRule type="expression" dxfId="82" priority="39">
      <formula>Z52="K18"</formula>
    </cfRule>
    <cfRule type="expression" dxfId="81" priority="37">
      <formula>Z52="K18PG"</formula>
    </cfRule>
    <cfRule type="expression" dxfId="80" priority="36">
      <formula>OR(Z52="Pt900/K18",Z52="Pt900/K18/K18WG")</formula>
    </cfRule>
  </conditionalFormatting>
  <conditionalFormatting sqref="AA16:AF16">
    <cfRule type="expression" dxfId="79" priority="374">
      <formula>OR(AA16="Pt900/K18",AA16="Pt900/K18/K18WG")</formula>
    </cfRule>
    <cfRule type="expression" dxfId="78" priority="375">
      <formula>AA16="K18PG"</formula>
    </cfRule>
    <cfRule type="expression" dxfId="77" priority="376">
      <formula>AA16="K18WG"</formula>
    </cfRule>
    <cfRule type="expression" dxfId="76" priority="377">
      <formula>AA16="K18"</formula>
    </cfRule>
  </conditionalFormatting>
  <conditionalFormatting sqref="AA25:AF25">
    <cfRule type="expression" dxfId="75" priority="284">
      <formula>AA25="K18"</formula>
    </cfRule>
    <cfRule type="expression" dxfId="74" priority="282">
      <formula>AA25="K18PG"</formula>
    </cfRule>
    <cfRule type="expression" dxfId="73" priority="281">
      <formula>OR(AA25="Pt900/K18",AA25="Pt900/K18/K18WG")</formula>
    </cfRule>
    <cfRule type="expression" dxfId="72" priority="283">
      <formula>AA25="K18WG"</formula>
    </cfRule>
  </conditionalFormatting>
  <conditionalFormatting sqref="AA34:AF34">
    <cfRule type="expression" dxfId="71" priority="191">
      <formula>AA34="K18"</formula>
    </cfRule>
    <cfRule type="expression" dxfId="70" priority="190">
      <formula>AA34="K18WG"</formula>
    </cfRule>
    <cfRule type="expression" dxfId="69" priority="189">
      <formula>AA34="K18PG"</formula>
    </cfRule>
    <cfRule type="expression" dxfId="68" priority="188">
      <formula>OR(AA34="Pt900/K18",AA34="Pt900/K18/K18WG")</formula>
    </cfRule>
  </conditionalFormatting>
  <conditionalFormatting sqref="AA43:AF43">
    <cfRule type="expression" dxfId="67" priority="95">
      <formula>OR(AA43="Pt900/K18",AA43="Pt900/K18/K18WG")</formula>
    </cfRule>
    <cfRule type="expression" dxfId="66" priority="96">
      <formula>AA43="K18PG"</formula>
    </cfRule>
    <cfRule type="expression" dxfId="65" priority="97">
      <formula>AA43="K18WG"</formula>
    </cfRule>
    <cfRule type="expression" dxfId="64" priority="98">
      <formula>AA43="K18"</formula>
    </cfRule>
  </conditionalFormatting>
  <conditionalFormatting sqref="AA52:AF52">
    <cfRule type="expression" dxfId="63" priority="5">
      <formula>AA52="K18"</formula>
    </cfRule>
    <cfRule type="expression" dxfId="62" priority="4">
      <formula>AA52="K18WG"</formula>
    </cfRule>
    <cfRule type="expression" dxfId="61" priority="3">
      <formula>AA52="K18PG"</formula>
    </cfRule>
    <cfRule type="expression" dxfId="60" priority="2">
      <formula>OR(AA52="Pt900/K18",AA52="Pt900/K18/K18WG")</formula>
    </cfRule>
  </conditionalFormatting>
  <conditionalFormatting sqref="AC12">
    <cfRule type="expression" dxfId="59" priority="414">
      <formula>AC12="K18PG"</formula>
    </cfRule>
    <cfRule type="expression" dxfId="58" priority="413">
      <formula>OR(AC12="Pt900/K18",AC12="Pt900/K18/K18WG")</formula>
    </cfRule>
    <cfRule type="expression" dxfId="57" priority="417">
      <formula>Z17="K18"</formula>
    </cfRule>
    <cfRule type="expression" dxfId="56" priority="416">
      <formula>AC12="K18"</formula>
    </cfRule>
    <cfRule type="expression" dxfId="55" priority="415">
      <formula>AC12="K18WG"</formula>
    </cfRule>
  </conditionalFormatting>
  <conditionalFormatting sqref="AC16">
    <cfRule type="expression" dxfId="54" priority="373">
      <formula>Z16="K18"</formula>
    </cfRule>
  </conditionalFormatting>
  <conditionalFormatting sqref="AC18">
    <cfRule type="expression" dxfId="53" priority="412">
      <formula>Z18="K18"</formula>
    </cfRule>
  </conditionalFormatting>
  <conditionalFormatting sqref="AC21">
    <cfRule type="expression" dxfId="52" priority="320">
      <formula>OR(AC21="Pt900/K18",AC21="Pt900/K18/K18WG")</formula>
    </cfRule>
    <cfRule type="expression" dxfId="51" priority="321">
      <formula>AC21="K18PG"</formula>
    </cfRule>
    <cfRule type="expression" dxfId="50" priority="322">
      <formula>AC21="K18WG"</formula>
    </cfRule>
    <cfRule type="expression" dxfId="49" priority="323">
      <formula>AC21="K18"</formula>
    </cfRule>
    <cfRule type="expression" dxfId="48" priority="324">
      <formula>Z26="K18"</formula>
    </cfRule>
  </conditionalFormatting>
  <conditionalFormatting sqref="AC25">
    <cfRule type="expression" dxfId="47" priority="280">
      <formula>Z25="K18"</formula>
    </cfRule>
  </conditionalFormatting>
  <conditionalFormatting sqref="AC27">
    <cfRule type="expression" dxfId="46" priority="319">
      <formula>Z27="K18"</formula>
    </cfRule>
  </conditionalFormatting>
  <conditionalFormatting sqref="AC30">
    <cfRule type="expression" dxfId="45" priority="227">
      <formula>OR(AC30="Pt900/K18",AC30="Pt900/K18/K18WG")</formula>
    </cfRule>
    <cfRule type="expression" dxfId="44" priority="231">
      <formula>Z35="K18"</formula>
    </cfRule>
    <cfRule type="expression" dxfId="43" priority="228">
      <formula>AC30="K18PG"</formula>
    </cfRule>
    <cfRule type="expression" dxfId="42" priority="229">
      <formula>AC30="K18WG"</formula>
    </cfRule>
    <cfRule type="expression" dxfId="41" priority="230">
      <formula>AC30="K18"</formula>
    </cfRule>
  </conditionalFormatting>
  <conditionalFormatting sqref="AC34">
    <cfRule type="expression" dxfId="40" priority="187">
      <formula>Z34="K18"</formula>
    </cfRule>
  </conditionalFormatting>
  <conditionalFormatting sqref="AC36">
    <cfRule type="expression" dxfId="39" priority="226">
      <formula>Z36="K18"</formula>
    </cfRule>
  </conditionalFormatting>
  <conditionalFormatting sqref="AC39">
    <cfRule type="expression" dxfId="38" priority="134">
      <formula>OR(AC39="Pt900/K18",AC39="Pt900/K18/K18WG")</formula>
    </cfRule>
    <cfRule type="expression" dxfId="37" priority="135">
      <formula>AC39="K18PG"</formula>
    </cfRule>
    <cfRule type="expression" dxfId="36" priority="136">
      <formula>AC39="K18WG"</formula>
    </cfRule>
    <cfRule type="expression" dxfId="35" priority="137">
      <formula>AC39="K18"</formula>
    </cfRule>
    <cfRule type="expression" dxfId="34" priority="138">
      <formula>Z44="K18"</formula>
    </cfRule>
  </conditionalFormatting>
  <conditionalFormatting sqref="AC43">
    <cfRule type="expression" dxfId="33" priority="94">
      <formula>Z43="K18"</formula>
    </cfRule>
  </conditionalFormatting>
  <conditionalFormatting sqref="AC45">
    <cfRule type="expression" dxfId="32" priority="133">
      <formula>Z45="K18"</formula>
    </cfRule>
  </conditionalFormatting>
  <conditionalFormatting sqref="AC48">
    <cfRule type="expression" dxfId="31" priority="44">
      <formula>AC48="K18"</formula>
    </cfRule>
    <cfRule type="expression" dxfId="30" priority="43">
      <formula>AC48="K18WG"</formula>
    </cfRule>
    <cfRule type="expression" dxfId="29" priority="45">
      <formula>Z53="K18"</formula>
    </cfRule>
    <cfRule type="expression" dxfId="28" priority="41">
      <formula>OR(AC48="Pt900/K18",AC48="Pt900/K18/K18WG")</formula>
    </cfRule>
    <cfRule type="expression" dxfId="27" priority="42">
      <formula>AC48="K18PG"</formula>
    </cfRule>
  </conditionalFormatting>
  <conditionalFormatting sqref="AC52">
    <cfRule type="expression" dxfId="26" priority="1">
      <formula>Z52="K18"</formula>
    </cfRule>
  </conditionalFormatting>
  <conditionalFormatting sqref="AC54">
    <cfRule type="expression" dxfId="25" priority="40">
      <formula>Z54="K18"</formula>
    </cfRule>
  </conditionalFormatting>
  <conditionalFormatting sqref="AD12:AG15 AG16 AD17:AG18">
    <cfRule type="expression" dxfId="24" priority="490">
      <formula>AD12="K18"</formula>
    </cfRule>
    <cfRule type="expression" dxfId="23" priority="487">
      <formula>OR(AD12="Pt900/K18",AD12="Pt900/K18/K18WG")</formula>
    </cfRule>
    <cfRule type="expression" dxfId="22" priority="488">
      <formula>AD12="K18PG"</formula>
    </cfRule>
    <cfRule type="expression" dxfId="21" priority="489">
      <formula>AD12="K18WG"</formula>
    </cfRule>
  </conditionalFormatting>
  <conditionalFormatting sqref="AD21:AG24 AG25 AD26:AG27">
    <cfRule type="expression" dxfId="20" priority="482">
      <formula>OR(AD21="Pt900/K18",AD21="Pt900/K18/K18WG")</formula>
    </cfRule>
    <cfRule type="expression" dxfId="19" priority="483">
      <formula>AD21="K18PG"</formula>
    </cfRule>
    <cfRule type="expression" dxfId="18" priority="484">
      <formula>AD21="K18WG"</formula>
    </cfRule>
    <cfRule type="expression" dxfId="17" priority="485">
      <formula>AD21="K18"</formula>
    </cfRule>
  </conditionalFormatting>
  <conditionalFormatting sqref="AD30:AG33 AG34 AD35:AG36">
    <cfRule type="expression" dxfId="16" priority="478">
      <formula>AD30="K18PG"</formula>
    </cfRule>
    <cfRule type="expression" dxfId="15" priority="477">
      <formula>OR(AD30="Pt900/K18",AD30="Pt900/K18/K18WG")</formula>
    </cfRule>
    <cfRule type="expression" dxfId="14" priority="479">
      <formula>AD30="K18WG"</formula>
    </cfRule>
    <cfRule type="expression" dxfId="13" priority="480">
      <formula>AD30="K18"</formula>
    </cfRule>
  </conditionalFormatting>
  <conditionalFormatting sqref="AD39:AG42 AG43 AD44:AG45">
    <cfRule type="expression" dxfId="12" priority="472">
      <formula>OR(AD39="Pt900/K18",AD39="Pt900/K18/K18WG")</formula>
    </cfRule>
    <cfRule type="expression" dxfId="11" priority="473">
      <formula>AD39="K18PG"</formula>
    </cfRule>
    <cfRule type="expression" dxfId="10" priority="474">
      <formula>AD39="K18WG"</formula>
    </cfRule>
    <cfRule type="expression" dxfId="9" priority="475">
      <formula>AD39="K18"</formula>
    </cfRule>
  </conditionalFormatting>
  <conditionalFormatting sqref="AD48:AG51 AG52 AD53:AG54">
    <cfRule type="expression" dxfId="8" priority="470">
      <formula>AD48="K18"</formula>
    </cfRule>
    <cfRule type="expression" dxfId="7" priority="467">
      <formula>OR(AD48="Pt900/K18",AD48="Pt900/K18/K18WG")</formula>
    </cfRule>
    <cfRule type="expression" dxfId="6" priority="468">
      <formula>AD48="K18PG"</formula>
    </cfRule>
    <cfRule type="expression" dxfId="5" priority="469">
      <formula>AD48="K18WG"</formula>
    </cfRule>
  </conditionalFormatting>
  <conditionalFormatting sqref="AG12:AG18">
    <cfRule type="expression" dxfId="4" priority="486">
      <formula>AD12="K18"</formula>
    </cfRule>
  </conditionalFormatting>
  <conditionalFormatting sqref="AG21:AG27">
    <cfRule type="expression" dxfId="3" priority="481">
      <formula>AD21="K18"</formula>
    </cfRule>
  </conditionalFormatting>
  <conditionalFormatting sqref="AG30:AG36">
    <cfRule type="expression" dxfId="2" priority="476">
      <formula>AD30="K18"</formula>
    </cfRule>
  </conditionalFormatting>
  <conditionalFormatting sqref="AG39:AG45">
    <cfRule type="expression" dxfId="1" priority="471">
      <formula>AD39="K18"</formula>
    </cfRule>
  </conditionalFormatting>
  <conditionalFormatting sqref="AG48:AG54">
    <cfRule type="expression" dxfId="0" priority="466">
      <formula>AD48="K18"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値札(手書き用)</vt:lpstr>
      <vt:lpstr>催事用値札見本</vt:lpstr>
      <vt:lpstr>プロパー用値札見本</vt:lpstr>
      <vt:lpstr>プロパー用値札見本 (2)</vt:lpstr>
      <vt:lpstr>SV900Pt100</vt:lpstr>
      <vt:lpstr>SV900Pt100!Print_Area</vt:lpstr>
      <vt:lpstr>プロパー用値札見本!Print_Area</vt:lpstr>
      <vt:lpstr>'プロパー用値札見本 (2)'!Print_Area</vt:lpstr>
      <vt:lpstr>催事用値札見本!Print_Area</vt:lpstr>
      <vt:lpstr>'値札(手書き用)'!Print_Area</vt:lpstr>
    </vt:vector>
  </TitlesOfParts>
  <Company>MouseComputer 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fujita</dc:creator>
  <cp:lastModifiedBy>由晶 西原</cp:lastModifiedBy>
  <cp:lastPrinted>2024-03-12T05:28:56Z</cp:lastPrinted>
  <dcterms:created xsi:type="dcterms:W3CDTF">2017-11-16T10:28:53Z</dcterms:created>
  <dcterms:modified xsi:type="dcterms:W3CDTF">2025-11-28T10:11:02Z</dcterms:modified>
</cp:coreProperties>
</file>